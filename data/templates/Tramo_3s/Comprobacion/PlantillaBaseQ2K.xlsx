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yecto_UB_2025\Modelo_Q2K_python\data\templates\Tramo_3s\Comprobacion\"/>
    </mc:Choice>
  </mc:AlternateContent>
  <xr:revisionPtr revIDLastSave="0" documentId="13_ncr:1_{C0B05B55-7A4E-4AC2-B554-1A4C12F1C238}" xr6:coauthVersionLast="47" xr6:coauthVersionMax="47" xr10:uidLastSave="{00000000-0000-0000-0000-000000000000}"/>
  <bookViews>
    <workbookView xWindow="-28920" yWindow="-120" windowWidth="29040" windowHeight="15720" activeTab="1" xr2:uid="{7CAB968E-70C7-47AF-B60B-C3245F72BAF9}"/>
  </bookViews>
  <sheets>
    <sheet name="REACHES" sheetId="1" r:id="rId1"/>
    <sheet name="SOURCES" sheetId="2" r:id="rId2"/>
    <sheet name="WQ_DAT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K6" i="1"/>
  <c r="K5" i="1"/>
  <c r="K4" i="1"/>
  <c r="K3" i="1"/>
</calcChain>
</file>

<file path=xl/sharedStrings.xml><?xml version="1.0" encoding="utf-8"?>
<sst xmlns="http://schemas.openxmlformats.org/spreadsheetml/2006/main" count="153" uniqueCount="99">
  <si>
    <t>NOMBRE_TRAMO</t>
  </si>
  <si>
    <t>TRAMO_1</t>
  </si>
  <si>
    <t>TRAMO_2</t>
  </si>
  <si>
    <t>FUENTE_PRINCIPAL</t>
  </si>
  <si>
    <t>X</t>
  </si>
  <si>
    <t>Y</t>
  </si>
  <si>
    <t>X_ARRIBA</t>
  </si>
  <si>
    <t>Y_ARRIBA</t>
  </si>
  <si>
    <t>X_ABAJO</t>
  </si>
  <si>
    <t>Y_ABAJO</t>
  </si>
  <si>
    <t>ALPHA_1</t>
  </si>
  <si>
    <t>BETA_1</t>
  </si>
  <si>
    <t>ALPHA_2</t>
  </si>
  <si>
    <t>BETA_2</t>
  </si>
  <si>
    <t>ELEV_ARRIBA</t>
  </si>
  <si>
    <t>ELEV_ABAJO</t>
  </si>
  <si>
    <t>NOMBRE_VERTIMIENTO</t>
  </si>
  <si>
    <t>X_QUAL2K</t>
  </si>
  <si>
    <t>CAUDAL</t>
  </si>
  <si>
    <t>CONDUCTIVIDAD</t>
  </si>
  <si>
    <t>SST</t>
  </si>
  <si>
    <t>OXIGENO_DISUELTO</t>
  </si>
  <si>
    <t>DBO5</t>
  </si>
  <si>
    <t>NTK</t>
  </si>
  <si>
    <t>NITROGENO_AMONIACAL</t>
  </si>
  <si>
    <t>NITRITOS</t>
  </si>
  <si>
    <t>NITRATOS</t>
  </si>
  <si>
    <t>FOSFORO_TOTAL</t>
  </si>
  <si>
    <t>ORTOFOSFATOS</t>
  </si>
  <si>
    <t>COLIFORMES_TOTALES</t>
  </si>
  <si>
    <t>COLIFORMES_TERMOTOLERANTES</t>
  </si>
  <si>
    <t>E_COLI</t>
  </si>
  <si>
    <t>ALCALINIDAD</t>
  </si>
  <si>
    <t>pH</t>
  </si>
  <si>
    <t>NOMBRE_ESTACIONES</t>
  </si>
  <si>
    <t>X_QUAL2K_ARRIBA</t>
  </si>
  <si>
    <t>X_QUAL2K_ABAJO</t>
  </si>
  <si>
    <t>TEMPERATURA</t>
  </si>
  <si>
    <t>TIPO</t>
  </si>
  <si>
    <t>VERTIMIENTO</t>
  </si>
  <si>
    <t>EST_ARRIBA</t>
  </si>
  <si>
    <t>EST_ABAJO</t>
  </si>
  <si>
    <t>SOMBRA_[-]</t>
  </si>
  <si>
    <t>TEMPERATURA_[C]</t>
  </si>
  <si>
    <t>TEMPERATURA_ROCIO_[C]</t>
  </si>
  <si>
    <t>VELOCIDAD_DEL_VIENTO_[MS]</t>
  </si>
  <si>
    <t>COBERTURA_NUBES_[-]</t>
  </si>
  <si>
    <t>TRAMO_3</t>
  </si>
  <si>
    <t>TRAMO_4</t>
  </si>
  <si>
    <t>TRAMO_5</t>
  </si>
  <si>
    <t>CABECERA</t>
  </si>
  <si>
    <t>MUNICIPIO DE TOTA</t>
  </si>
  <si>
    <t xml:space="preserve">CASTRO REBOLLEDO Y ASOCIADOS LTDA CARE Y ASOCIADOS LTDA </t>
  </si>
  <si>
    <t>MUNICIPIO DE IZA</t>
  </si>
  <si>
    <t>RÍO PESCA CONFLUENCIA TOTA</t>
  </si>
  <si>
    <t>MUNICIPIO DE FIRAVITOBA V1</t>
  </si>
  <si>
    <t>MUNICIPIO DE FIRAVITOBA V2</t>
  </si>
  <si>
    <t>MUNICIPIO DE FIRAVITOBA V3</t>
  </si>
  <si>
    <t>MUNICIPIO DE FIRAVITOBA V4</t>
  </si>
  <si>
    <t>CEMENTOS TEQUENDAMA ARND ANN1</t>
  </si>
  <si>
    <t>CEMENTOS TEQUENDAMA ARND ANN2</t>
  </si>
  <si>
    <t xml:space="preserve">CANAL VENECIA </t>
  </si>
  <si>
    <t>RIO MONQUIRA PUENTE VEHICULAR</t>
  </si>
  <si>
    <t>INICIO RIO TOTA</t>
  </si>
  <si>
    <t>AGUAS ABAJO INICIO RÍO TOTA</t>
  </si>
  <si>
    <t>RÍO TOTA, SECTOR VEREDAL</t>
  </si>
  <si>
    <t>AGUAS ARRIBA MUNICIPIO TOTA</t>
  </si>
  <si>
    <t>RÍO TOTA AGUAS ABAJO MUNICIPIO TOTA</t>
  </si>
  <si>
    <t>AGUAS ARRIBA HOTEL BATAN</t>
  </si>
  <si>
    <t>AGUAS ARRIBA MUNICIPIO IZA</t>
  </si>
  <si>
    <t>DESCARGA ARD IZA</t>
  </si>
  <si>
    <t>RÍO TOTA (CRUCE HOLCIM)</t>
  </si>
  <si>
    <t xml:space="preserve">COOPERATIVA MULTIACTIVA DE COMERCIANTES Y PRODUCTORES AGRÍCOLAS DEL ORIENTE COLOMBIANO COOMPRORIENTE </t>
  </si>
  <si>
    <t>RÍO CHIQUITO PLAZA DE MERCADO CHE10</t>
  </si>
  <si>
    <t>RÍO CHIQUITO DEBAJO DE FIRAVITOBA CHE11</t>
  </si>
  <si>
    <t>RÍO CHIQUITO PUENTE VEHICULAR CARTA CHE15</t>
  </si>
  <si>
    <t>RÍO CHIQUITO ANTES DE RÍO MONQUIRÁ CHE17</t>
  </si>
  <si>
    <t>RÍO CHIQUITO ANTES DE CANAL VARGAS E18</t>
  </si>
  <si>
    <t>RÍO CHIQUITO INICIO CHE9</t>
  </si>
  <si>
    <t>ASOCIACIÓN DE USUARIOS DE RIEGO SAN ISIDRO</t>
  </si>
  <si>
    <t>CARE Y ASOCIADOS LTA</t>
  </si>
  <si>
    <t>FABIO HERNAN VELANDIA RUSSI</t>
  </si>
  <si>
    <t>MUNICIPIO DE FIRAVITOBA</t>
  </si>
  <si>
    <t>LUIS ALFONSO LOMBANA VARGAS</t>
  </si>
  <si>
    <t>YOLY MARIA SOTAQUIRA GRANADOS</t>
  </si>
  <si>
    <t>CAPTACION</t>
  </si>
  <si>
    <t>RIO CHIQUITO</t>
  </si>
  <si>
    <t>COMPAÑIA DE SERVICIOS PUBLICOS DE SOGAMOSO S.A. E.S.P CSPS PUENTE CHAMEZA</t>
  </si>
  <si>
    <t>COMPAÑIA DE SERVICIOS PUBLICOS DE SOGAMOSO S.A. E.S.P CSPS PUENTE FLORES</t>
  </si>
  <si>
    <t>COMPAÑIA DE SERVICIOS PUBLICOS DE SOGAMOSO S.A. E.S.P DESCARGA CALLE 43</t>
  </si>
  <si>
    <t>GRUPO LUZ Y FUERZA COLOMBIA S.A.S</t>
  </si>
  <si>
    <t>COMPAÑIA DE SERVICIOS PUBLICOS DE SOGAMOSO S.A. E.S.P CSPS CALLE 25 SUR</t>
  </si>
  <si>
    <t>CANAL VARGAS</t>
  </si>
  <si>
    <t>RIO CHIQUITO ANTES DE LA UNIÓN CON RÍO CHICAMOCHA NOBSA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</si>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</sst>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0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2" fillId="0" borderId="0"/>
    <xf numFmtId="0" fontId="3" fillId="3" borderId="1">
      <alignment horizontal="left"/>
    </xf>
  </cellStyleXfs>
  <cellXfs count="30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1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11" fontId="6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6" fillId="2" borderId="0" xfId="0" applyNumberFormat="1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165" fontId="4" fillId="0" borderId="0" xfId="0" applyNumberFormat="1" applyFont="1" applyAlignment="1">
      <alignment vertical="center"/>
    </xf>
    <xf numFmtId="165" fontId="4" fillId="0" borderId="0" xfId="0" applyNumberFormat="1" applyFont="1"/>
    <xf numFmtId="2" fontId="4" fillId="0" borderId="0" xfId="0" applyNumberFormat="1" applyFont="1" applyAlignment="1">
      <alignment vertical="center"/>
    </xf>
    <xf numFmtId="2" fontId="4" fillId="0" borderId="0" xfId="0" applyNumberFormat="1" applyFont="1"/>
    <xf numFmtId="166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1E448513-AECF-4DF6-9944-618EDAC9F2C8}"/>
    <cellStyle name="STYLE0" xfId="2" xr:uid="{B3D0ECA0-BCB9-4C5E-898B-048A7B3C97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5B90-F6BE-451C-A024-0FD774F3F607}">
  <sheetPr codeName="Hoja1"/>
  <dimension ref="A1:U6"/>
  <sheetViews>
    <sheetView workbookViewId="0">
      <selection activeCell="C10" sqref="C10"/>
    </sheetView>
  </sheetViews>
  <sheetFormatPr baseColWidth="10" defaultColWidth="11.5546875" defaultRowHeight="13.8" x14ac:dyDescent="0.25"/>
  <cols>
    <col min="1" max="1" width="15" style="3" bestFit="1" customWidth="1"/>
    <col min="2" max="3" width="43.33203125" style="3" bestFit="1" customWidth="1"/>
    <col min="4" max="4" width="17.109375" style="3" bestFit="1" customWidth="1"/>
    <col min="5" max="5" width="11.6640625" style="3" bestFit="1" customWidth="1"/>
    <col min="6" max="8" width="11.5546875" style="3"/>
    <col min="9" max="10" width="16.21875" style="3" bestFit="1" customWidth="1"/>
    <col min="11" max="12" width="14" style="3" customWidth="1"/>
    <col min="13" max="16" width="11.5546875" style="3"/>
    <col min="17" max="17" width="10.6640625" style="3" bestFit="1" customWidth="1"/>
    <col min="18" max="18" width="16.21875" style="3" bestFit="1" customWidth="1"/>
    <col min="19" max="19" width="22.5546875" style="3" bestFit="1" customWidth="1"/>
    <col min="20" max="20" width="25.88671875" style="3" bestFit="1" customWidth="1"/>
    <col min="21" max="21" width="20.21875" style="3" bestFit="1" customWidth="1"/>
    <col min="22" max="16384" width="11.5546875" style="3"/>
  </cols>
  <sheetData>
    <row r="1" spans="1:21" x14ac:dyDescent="0.25">
      <c r="A1" s="3" t="s">
        <v>0</v>
      </c>
      <c r="B1" s="3" t="s">
        <v>40</v>
      </c>
      <c r="C1" s="3" t="s">
        <v>41</v>
      </c>
      <c r="D1" s="3" t="s">
        <v>3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35</v>
      </c>
      <c r="J1" s="3" t="s">
        <v>36</v>
      </c>
      <c r="K1" s="3" t="s">
        <v>14</v>
      </c>
      <c r="L1" s="3" t="s">
        <v>15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46</v>
      </c>
    </row>
    <row r="2" spans="1:21" x14ac:dyDescent="0.25">
      <c r="A2" s="22" t="s">
        <v>1</v>
      </c>
      <c r="B2" s="22" t="s">
        <v>50</v>
      </c>
      <c r="C2" s="12" t="s">
        <v>94</v>
      </c>
      <c r="D2" s="3" t="s">
        <v>86</v>
      </c>
      <c r="E2" s="3">
        <v>-73.016000000000005</v>
      </c>
      <c r="F2" s="3">
        <v>5.4574999999999996</v>
      </c>
      <c r="G2" s="14">
        <v>-73.003097220000001</v>
      </c>
      <c r="H2" s="14">
        <v>5.5556111110000002</v>
      </c>
      <c r="I2" s="3">
        <v>51.487072953491399</v>
      </c>
      <c r="J2" s="3">
        <v>34.330384997371397</v>
      </c>
      <c r="K2" s="3">
        <v>3557</v>
      </c>
      <c r="L2" s="3">
        <v>2661</v>
      </c>
      <c r="M2" s="3">
        <v>9.8900000000000002E-2</v>
      </c>
      <c r="N2" s="3">
        <v>0.74209999999999998</v>
      </c>
      <c r="O2" s="3">
        <v>1.1284000000000001</v>
      </c>
      <c r="P2" s="3">
        <v>0.1447</v>
      </c>
      <c r="Q2" s="3">
        <v>0.5</v>
      </c>
      <c r="R2" s="3">
        <v>12.22</v>
      </c>
      <c r="S2" s="3">
        <v>11.06</v>
      </c>
      <c r="T2" s="3">
        <v>1.58</v>
      </c>
      <c r="U2" s="3">
        <v>0.9</v>
      </c>
    </row>
    <row r="3" spans="1:21" x14ac:dyDescent="0.25">
      <c r="A3" s="22" t="s">
        <v>2</v>
      </c>
      <c r="B3" s="12" t="s">
        <v>94</v>
      </c>
      <c r="C3" s="12" t="s">
        <v>95</v>
      </c>
      <c r="D3" s="3" t="s">
        <v>86</v>
      </c>
      <c r="E3" s="14">
        <v>-73.003097220000001</v>
      </c>
      <c r="F3" s="14">
        <v>5.5556111110000002</v>
      </c>
      <c r="G3" s="14">
        <v>-72.99377278</v>
      </c>
      <c r="H3" s="14">
        <v>5.6534511109999999</v>
      </c>
      <c r="I3" s="3">
        <v>34.330384997371397</v>
      </c>
      <c r="J3" s="3">
        <v>19.382147762978398</v>
      </c>
      <c r="K3" s="3">
        <f>+L2</f>
        <v>2661</v>
      </c>
      <c r="L3" s="3">
        <v>2498</v>
      </c>
      <c r="M3" s="3">
        <v>0.1946</v>
      </c>
      <c r="N3" s="3">
        <v>0.51790000000000003</v>
      </c>
      <c r="O3" s="3">
        <v>0.47149999999999997</v>
      </c>
      <c r="P3" s="3">
        <v>0.43180000000000002</v>
      </c>
      <c r="Q3" s="3">
        <v>0.5</v>
      </c>
      <c r="R3" s="3">
        <v>12.53</v>
      </c>
      <c r="S3" s="3">
        <v>11.06</v>
      </c>
      <c r="T3" s="3">
        <v>1.58</v>
      </c>
      <c r="U3" s="3">
        <v>0.89</v>
      </c>
    </row>
    <row r="4" spans="1:21" x14ac:dyDescent="0.25">
      <c r="A4" s="22" t="s">
        <v>47</v>
      </c>
      <c r="B4" s="12" t="s">
        <v>95</v>
      </c>
      <c r="C4" s="12" t="s">
        <v>96</v>
      </c>
      <c r="D4" s="3" t="s">
        <v>86</v>
      </c>
      <c r="E4" s="14">
        <v>-72.99377278</v>
      </c>
      <c r="F4" s="14">
        <v>5.6534511109999999</v>
      </c>
      <c r="G4" s="14">
        <v>-72.976889</v>
      </c>
      <c r="H4" s="14">
        <v>5.6925829999999999</v>
      </c>
      <c r="I4" s="3">
        <v>19.382147762978398</v>
      </c>
      <c r="J4" s="3">
        <v>12.875781889703397</v>
      </c>
      <c r="K4" s="3">
        <f>+L3</f>
        <v>2498</v>
      </c>
      <c r="L4" s="3">
        <v>2488</v>
      </c>
      <c r="M4" s="3">
        <v>0.1007</v>
      </c>
      <c r="N4" s="3">
        <v>0.61280000000000001</v>
      </c>
      <c r="O4" s="3">
        <v>0.81259999999999999</v>
      </c>
      <c r="P4" s="3">
        <v>0.2913</v>
      </c>
      <c r="Q4" s="3">
        <v>0.5</v>
      </c>
      <c r="R4" s="3">
        <v>20.12</v>
      </c>
      <c r="S4" s="3">
        <v>11.06</v>
      </c>
      <c r="T4" s="3">
        <v>1.58</v>
      </c>
      <c r="U4" s="3">
        <v>0.89</v>
      </c>
    </row>
    <row r="5" spans="1:21" x14ac:dyDescent="0.25">
      <c r="A5" s="22" t="s">
        <v>48</v>
      </c>
      <c r="B5" s="12" t="s">
        <v>96</v>
      </c>
      <c r="C5" s="12" t="s">
        <v>97</v>
      </c>
      <c r="D5" s="3" t="s">
        <v>86</v>
      </c>
      <c r="E5" s="14">
        <v>-72.976889</v>
      </c>
      <c r="F5" s="14">
        <v>5.6925829999999999</v>
      </c>
      <c r="G5" s="14">
        <v>-72.939875000000001</v>
      </c>
      <c r="H5" s="14">
        <v>5.7397919999999996</v>
      </c>
      <c r="I5" s="3">
        <v>12.875781889703397</v>
      </c>
      <c r="J5" s="3">
        <v>4.0017632781633949</v>
      </c>
      <c r="K5" s="3">
        <f>+L4</f>
        <v>2488</v>
      </c>
      <c r="L5" s="3">
        <v>2479</v>
      </c>
      <c r="M5" s="3">
        <v>0.1462</v>
      </c>
      <c r="N5" s="3">
        <v>0.5454</v>
      </c>
      <c r="O5" s="3">
        <v>0.40189999999999998</v>
      </c>
      <c r="P5" s="3">
        <v>0.45279999999999998</v>
      </c>
      <c r="Q5" s="3">
        <v>0.5</v>
      </c>
      <c r="R5" s="3">
        <v>20.12</v>
      </c>
      <c r="S5" s="3">
        <v>11.06</v>
      </c>
      <c r="T5" s="3">
        <v>1.58</v>
      </c>
      <c r="U5" s="3">
        <v>0.89</v>
      </c>
    </row>
    <row r="6" spans="1:21" x14ac:dyDescent="0.25">
      <c r="A6" s="22" t="s">
        <v>49</v>
      </c>
      <c r="B6" s="12" t="s">
        <v>97</v>
      </c>
      <c r="C6" s="12" t="s">
        <v>98</v>
      </c>
      <c r="D6" s="3" t="s">
        <v>86</v>
      </c>
      <c r="E6" s="14">
        <v>-72.939875000000001</v>
      </c>
      <c r="F6" s="14">
        <v>5.7397919999999996</v>
      </c>
      <c r="G6" s="7">
        <v>-72.915094444000005</v>
      </c>
      <c r="H6" s="7">
        <v>5.7563138890000003</v>
      </c>
      <c r="I6" s="3">
        <v>4.0017632781633949</v>
      </c>
      <c r="J6" s="3">
        <v>0</v>
      </c>
      <c r="K6" s="3">
        <f>+L5</f>
        <v>2479</v>
      </c>
      <c r="L6" s="3">
        <v>2481</v>
      </c>
      <c r="M6" s="3">
        <v>0.26179999999999998</v>
      </c>
      <c r="N6" s="3">
        <v>0.50960000000000005</v>
      </c>
      <c r="O6" s="3">
        <v>0.3029</v>
      </c>
      <c r="P6" s="3">
        <v>0.2697</v>
      </c>
      <c r="Q6" s="3">
        <v>0.5</v>
      </c>
      <c r="R6" s="3">
        <v>20.12</v>
      </c>
      <c r="S6" s="3">
        <v>11.06</v>
      </c>
      <c r="T6" s="3">
        <v>1.58</v>
      </c>
      <c r="U6" s="3">
        <v>0.89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CAE8-8F8D-4B2D-9878-1F4D056EC13E}">
  <sheetPr codeName="Hoja2"/>
  <dimension ref="A1:Z3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8" sqref="H28"/>
    </sheetView>
  </sheetViews>
  <sheetFormatPr baseColWidth="10" defaultColWidth="11.5546875" defaultRowHeight="13.8" x14ac:dyDescent="0.3"/>
  <cols>
    <col min="1" max="1" width="75.21875" style="5" bestFit="1" customWidth="1"/>
    <col min="2" max="2" width="21.109375" style="1" customWidth="1"/>
    <col min="3" max="3" width="12.6640625" style="1" bestFit="1" customWidth="1"/>
    <col min="4" max="4" width="12" style="1" bestFit="1" customWidth="1"/>
    <col min="5" max="5" width="11.109375" style="1" customWidth="1"/>
    <col min="6" max="6" width="13.33203125" style="1" customWidth="1"/>
    <col min="7" max="7" width="13.33203125" style="1" bestFit="1" customWidth="1"/>
    <col min="8" max="8" width="15.33203125" style="1" bestFit="1" customWidth="1"/>
    <col min="9" max="9" width="11.6640625" style="1" customWidth="1"/>
    <col min="10" max="10" width="18.33203125" style="1" bestFit="1" customWidth="1"/>
    <col min="11" max="11" width="5.77734375" style="1" bestFit="1" customWidth="1"/>
    <col min="12" max="12" width="6.109375" style="1" customWidth="1"/>
    <col min="13" max="13" width="22.77734375" style="1" bestFit="1" customWidth="1"/>
    <col min="14" max="14" width="9" style="1" bestFit="1" customWidth="1"/>
    <col min="15" max="15" width="9.5546875" style="1" bestFit="1" customWidth="1"/>
    <col min="16" max="16" width="15.33203125" style="1" bestFit="1" customWidth="1"/>
    <col min="17" max="17" width="14.6640625" style="1" bestFit="1" customWidth="1"/>
    <col min="18" max="18" width="20.109375" style="1" bestFit="1" customWidth="1"/>
    <col min="19" max="19" width="29.77734375" style="1" bestFit="1" customWidth="1"/>
    <col min="20" max="20" width="9.88671875" style="1" bestFit="1" customWidth="1"/>
    <col min="21" max="21" width="12.21875" style="1" bestFit="1" customWidth="1"/>
    <col min="22" max="22" width="8.21875" style="1" customWidth="1"/>
    <col min="23" max="16384" width="11.5546875" style="1"/>
  </cols>
  <sheetData>
    <row r="1" spans="1:26" x14ac:dyDescent="0.3">
      <c r="A1" s="1" t="s">
        <v>16</v>
      </c>
      <c r="B1" s="1" t="s">
        <v>38</v>
      </c>
      <c r="C1" s="1" t="s">
        <v>4</v>
      </c>
      <c r="D1" s="1" t="s">
        <v>5</v>
      </c>
      <c r="E1" s="1" t="s">
        <v>17</v>
      </c>
      <c r="F1" s="1" t="s">
        <v>18</v>
      </c>
      <c r="G1" s="1" t="s">
        <v>37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</row>
    <row r="2" spans="1:26" s="3" customFormat="1" x14ac:dyDescent="0.25">
      <c r="A2" s="22" t="s">
        <v>51</v>
      </c>
      <c r="B2" s="3" t="s">
        <v>39</v>
      </c>
      <c r="C2" s="17">
        <v>-72.988805555555558</v>
      </c>
      <c r="D2" s="17">
        <v>5.557722222222222</v>
      </c>
      <c r="E2" s="1">
        <v>33.284025632196091</v>
      </c>
      <c r="F2" s="18">
        <v>2.2100000000000002E-3</v>
      </c>
      <c r="G2" s="7">
        <v>14.5</v>
      </c>
      <c r="H2" s="7">
        <v>585</v>
      </c>
      <c r="I2" s="7">
        <v>40</v>
      </c>
      <c r="J2" s="7">
        <v>1.1100000000000001</v>
      </c>
      <c r="K2" s="7">
        <v>138</v>
      </c>
      <c r="L2" s="7">
        <v>34.695999999999998</v>
      </c>
      <c r="M2" s="7">
        <v>26.6</v>
      </c>
      <c r="N2" s="7">
        <v>3.5000000000000001E-3</v>
      </c>
      <c r="O2" s="7">
        <v>1</v>
      </c>
      <c r="P2" s="7">
        <v>4.83</v>
      </c>
      <c r="Q2" s="7"/>
      <c r="R2" s="7"/>
      <c r="T2" s="8">
        <v>5.9698816437464997</v>
      </c>
      <c r="U2" s="7"/>
      <c r="V2" s="7">
        <v>7.27</v>
      </c>
    </row>
    <row r="3" spans="1:26" s="3" customFormat="1" x14ac:dyDescent="0.25">
      <c r="A3" s="22" t="s">
        <v>52</v>
      </c>
      <c r="B3" s="3" t="s">
        <v>39</v>
      </c>
      <c r="C3" s="17">
        <v>-72.983888888888885</v>
      </c>
      <c r="D3" s="17">
        <v>5.5872222222222216</v>
      </c>
      <c r="E3" s="1">
        <v>29.026272720486094</v>
      </c>
      <c r="F3" s="18">
        <v>3.0499999999999998E-3</v>
      </c>
      <c r="G3" s="7">
        <v>23.421500000000002</v>
      </c>
      <c r="H3" s="7">
        <v>753.92499999999995</v>
      </c>
      <c r="I3" s="7">
        <v>15</v>
      </c>
      <c r="J3" s="7">
        <v>3.4249999999999998</v>
      </c>
      <c r="K3" s="7">
        <v>55.1</v>
      </c>
      <c r="L3" s="7">
        <v>27.1</v>
      </c>
      <c r="M3" s="7">
        <v>22.2</v>
      </c>
      <c r="N3" s="7">
        <v>0.03</v>
      </c>
      <c r="O3" s="7">
        <v>4.4999999999999998E-2</v>
      </c>
      <c r="P3" s="7">
        <v>2.8</v>
      </c>
      <c r="Q3" s="7">
        <v>1.6</v>
      </c>
      <c r="R3" s="7">
        <v>4.4401216031878041</v>
      </c>
      <c r="T3" s="7">
        <v>4.3802112417116064</v>
      </c>
      <c r="U3" s="7">
        <v>145</v>
      </c>
      <c r="V3" s="7">
        <v>7.2355000000000018</v>
      </c>
    </row>
    <row r="4" spans="1:26" s="9" customFormat="1" x14ac:dyDescent="0.25">
      <c r="A4" s="22" t="s">
        <v>52</v>
      </c>
      <c r="B4" s="3" t="s">
        <v>39</v>
      </c>
      <c r="C4" s="17">
        <v>-72.984411111111115</v>
      </c>
      <c r="D4" s="17">
        <v>5.5876916666666663</v>
      </c>
      <c r="E4" s="1">
        <v>28.984028840088893</v>
      </c>
      <c r="F4" s="19">
        <v>1.0300000000000001E-3</v>
      </c>
      <c r="G4" s="7">
        <v>18.036000000000001</v>
      </c>
      <c r="H4" s="7">
        <v>637.52</v>
      </c>
      <c r="I4" s="7">
        <v>46</v>
      </c>
      <c r="J4" s="7">
        <v>3.07</v>
      </c>
      <c r="K4" s="7">
        <v>75.400000000000006</v>
      </c>
      <c r="L4" s="7">
        <v>25.6</v>
      </c>
      <c r="M4" s="7">
        <v>22</v>
      </c>
      <c r="N4" s="7">
        <v>0.03</v>
      </c>
      <c r="O4" s="7">
        <v>4.4999999999999998E-2</v>
      </c>
      <c r="P4" s="7">
        <v>8</v>
      </c>
      <c r="Q4" s="7">
        <v>2.7</v>
      </c>
      <c r="R4" s="7">
        <v>6.6637951222194074</v>
      </c>
      <c r="T4" s="7">
        <v>6.3147096929551738</v>
      </c>
      <c r="U4" s="7">
        <v>245</v>
      </c>
      <c r="V4" s="7">
        <v>7.93</v>
      </c>
      <c r="X4" s="3"/>
      <c r="Y4" s="3"/>
      <c r="Z4" s="3"/>
    </row>
    <row r="5" spans="1:26" x14ac:dyDescent="0.25">
      <c r="A5" s="22" t="s">
        <v>53</v>
      </c>
      <c r="B5" s="3" t="s">
        <v>39</v>
      </c>
      <c r="C5" s="17">
        <v>-72.982666666666674</v>
      </c>
      <c r="D5" s="17">
        <v>5.6197500000000007</v>
      </c>
      <c r="E5" s="1">
        <v>24.355283912178894</v>
      </c>
      <c r="F5" s="18">
        <v>7.8899999999999999E-4</v>
      </c>
      <c r="G5" s="7">
        <v>16.899999999999999</v>
      </c>
      <c r="H5" s="7">
        <v>628.5</v>
      </c>
      <c r="I5" s="7">
        <v>72</v>
      </c>
      <c r="J5" s="7">
        <v>2.2000000000000002</v>
      </c>
      <c r="K5" s="7">
        <v>116</v>
      </c>
      <c r="L5" s="7">
        <v>37.6</v>
      </c>
      <c r="M5" s="7">
        <v>32.799999999999997</v>
      </c>
      <c r="N5" s="7">
        <v>4.5999999999999999E-2</v>
      </c>
      <c r="O5" s="7">
        <v>0.25</v>
      </c>
      <c r="P5" s="7">
        <v>4.12</v>
      </c>
      <c r="Q5" s="7">
        <v>2.12</v>
      </c>
      <c r="U5" s="7"/>
      <c r="V5" s="7">
        <v>7.6</v>
      </c>
      <c r="X5" s="3"/>
      <c r="Y5" s="3"/>
      <c r="Z5" s="3"/>
    </row>
    <row r="6" spans="1:26" x14ac:dyDescent="0.25">
      <c r="A6" s="22" t="s">
        <v>55</v>
      </c>
      <c r="B6" s="3" t="s">
        <v>39</v>
      </c>
      <c r="C6" s="17">
        <v>-72.99444444444444</v>
      </c>
      <c r="D6" s="17">
        <v>5.6669444444444448</v>
      </c>
      <c r="E6" s="1">
        <v>17.556148370928895</v>
      </c>
      <c r="F6" s="18">
        <v>2.3969999999999998E-3</v>
      </c>
      <c r="G6" s="7">
        <v>15.6</v>
      </c>
      <c r="H6" s="7">
        <v>401</v>
      </c>
      <c r="I6" s="7">
        <v>52</v>
      </c>
      <c r="J6" s="7">
        <v>0.81</v>
      </c>
      <c r="K6" s="7">
        <v>210</v>
      </c>
      <c r="L6" s="7">
        <v>13.4</v>
      </c>
      <c r="M6" s="7">
        <v>8.8000000000000007</v>
      </c>
      <c r="N6" s="7">
        <v>3.5000000000000003E-2</v>
      </c>
      <c r="O6" s="7">
        <v>0.25</v>
      </c>
      <c r="P6" s="7">
        <v>2.9</v>
      </c>
      <c r="Q6" s="7">
        <v>0.99</v>
      </c>
      <c r="U6" s="7"/>
      <c r="V6" s="7">
        <v>6.45</v>
      </c>
      <c r="X6" s="3"/>
      <c r="Y6" s="3"/>
      <c r="Z6" s="3"/>
    </row>
    <row r="7" spans="1:26" x14ac:dyDescent="0.25">
      <c r="A7" s="22" t="s">
        <v>56</v>
      </c>
      <c r="B7" s="3" t="s">
        <v>39</v>
      </c>
      <c r="C7" s="17">
        <v>-72.996944444444452</v>
      </c>
      <c r="D7" s="17">
        <v>5.6680555555555561</v>
      </c>
      <c r="E7" s="1">
        <v>17.237079325181895</v>
      </c>
      <c r="F7" s="18">
        <v>8.634000000000001E-3</v>
      </c>
      <c r="G7" s="7">
        <v>16.7</v>
      </c>
      <c r="H7" s="7">
        <v>425</v>
      </c>
      <c r="I7" s="7">
        <v>216</v>
      </c>
      <c r="J7" s="7">
        <v>1.5</v>
      </c>
      <c r="K7" s="7">
        <v>200</v>
      </c>
      <c r="L7" s="7">
        <v>18.7</v>
      </c>
      <c r="M7" s="7">
        <v>14.1</v>
      </c>
      <c r="N7" s="7">
        <v>3.4000000000000002E-2</v>
      </c>
      <c r="O7" s="7">
        <v>0.25</v>
      </c>
      <c r="P7" s="7">
        <v>7.13</v>
      </c>
      <c r="Q7" s="7">
        <v>6.02</v>
      </c>
      <c r="S7" s="4"/>
      <c r="U7" s="7"/>
      <c r="V7" s="7">
        <v>7.8</v>
      </c>
      <c r="X7" s="3"/>
      <c r="Y7" s="3"/>
      <c r="Z7" s="3"/>
    </row>
    <row r="8" spans="1:26" x14ac:dyDescent="0.25">
      <c r="A8" s="22" t="s">
        <v>57</v>
      </c>
      <c r="B8" s="3" t="s">
        <v>39</v>
      </c>
      <c r="C8" s="17">
        <v>-72.996388888888887</v>
      </c>
      <c r="D8" s="17">
        <v>5.6697222222222221</v>
      </c>
      <c r="E8" s="1">
        <v>17.033017347847895</v>
      </c>
      <c r="F8" s="18">
        <v>3.0400000000000002E-4</v>
      </c>
      <c r="G8" s="7">
        <v>17.399999999999999</v>
      </c>
      <c r="H8" s="7">
        <v>571</v>
      </c>
      <c r="I8" s="7">
        <v>84.7</v>
      </c>
      <c r="J8" s="7">
        <v>0.9</v>
      </c>
      <c r="K8" s="7">
        <v>125</v>
      </c>
      <c r="L8" s="7">
        <v>36</v>
      </c>
      <c r="M8" s="7">
        <v>30.2</v>
      </c>
      <c r="N8" s="7">
        <v>5.0000000000000001E-3</v>
      </c>
      <c r="O8" s="7">
        <v>0.25</v>
      </c>
      <c r="P8" s="7">
        <v>9.06</v>
      </c>
      <c r="Q8" s="7">
        <v>8.44</v>
      </c>
      <c r="R8" s="4"/>
      <c r="S8" s="4"/>
      <c r="U8" s="7"/>
      <c r="V8" s="7">
        <v>7.8</v>
      </c>
      <c r="X8" s="3"/>
      <c r="Y8" s="3"/>
      <c r="Z8" s="3"/>
    </row>
    <row r="9" spans="1:26" x14ac:dyDescent="0.25">
      <c r="A9" s="22" t="s">
        <v>58</v>
      </c>
      <c r="B9" s="3" t="s">
        <v>39</v>
      </c>
      <c r="C9" s="17">
        <v>-72.984166666666667</v>
      </c>
      <c r="D9" s="17">
        <v>5.6827777777777779</v>
      </c>
      <c r="E9" s="1">
        <v>15.072290844867894</v>
      </c>
      <c r="F9" s="18">
        <v>2.9999999999999997E-5</v>
      </c>
      <c r="G9" s="7">
        <v>15.8</v>
      </c>
      <c r="H9" s="7">
        <v>836.5</v>
      </c>
      <c r="I9" s="7">
        <v>21.6</v>
      </c>
      <c r="J9" s="7">
        <v>0.74</v>
      </c>
      <c r="K9" s="7">
        <v>70</v>
      </c>
      <c r="L9" s="7">
        <v>35.344999999999999</v>
      </c>
      <c r="M9" s="7">
        <v>28.1</v>
      </c>
      <c r="N9" s="7">
        <v>5.0000000000000001E-3</v>
      </c>
      <c r="O9" s="7">
        <v>0.25</v>
      </c>
      <c r="P9" s="7">
        <v>34.5</v>
      </c>
      <c r="Q9" s="7">
        <v>2.8</v>
      </c>
      <c r="U9" s="7"/>
      <c r="V9" s="7">
        <v>7.3</v>
      </c>
      <c r="X9" s="3"/>
      <c r="Y9" s="3"/>
      <c r="Z9" s="3"/>
    </row>
    <row r="10" spans="1:26" x14ac:dyDescent="0.25">
      <c r="A10" s="22" t="s">
        <v>59</v>
      </c>
      <c r="B10" s="3" t="s">
        <v>39</v>
      </c>
      <c r="C10" s="17">
        <v>-72.999475000000004</v>
      </c>
      <c r="D10" s="17">
        <v>5.691705555555556</v>
      </c>
      <c r="E10" s="1">
        <v>14.868043732174897</v>
      </c>
      <c r="F10" s="18">
        <v>1.4999999999999999E-4</v>
      </c>
      <c r="G10" s="7">
        <v>19.600000000000001</v>
      </c>
      <c r="H10" s="7">
        <v>230</v>
      </c>
      <c r="I10" s="7"/>
      <c r="J10" s="7"/>
      <c r="K10" s="7">
        <v>1</v>
      </c>
      <c r="L10" s="7">
        <v>2.84</v>
      </c>
      <c r="M10" s="7">
        <v>0.73</v>
      </c>
      <c r="N10" s="7">
        <v>0.01</v>
      </c>
      <c r="O10" s="7">
        <v>0.15</v>
      </c>
      <c r="P10" s="7">
        <v>0.1</v>
      </c>
      <c r="Q10" s="7">
        <v>1.4999999999999999E-2</v>
      </c>
      <c r="R10" s="7">
        <v>3.3802112417116059</v>
      </c>
      <c r="U10" s="7">
        <v>56.8</v>
      </c>
      <c r="V10" s="7">
        <v>8.84</v>
      </c>
      <c r="X10" s="3"/>
      <c r="Y10" s="3"/>
      <c r="Z10" s="3"/>
    </row>
    <row r="11" spans="1:26" x14ac:dyDescent="0.25">
      <c r="A11" s="22" t="s">
        <v>60</v>
      </c>
      <c r="B11" s="3" t="s">
        <v>39</v>
      </c>
      <c r="C11" s="7">
        <v>-72.994072222222201</v>
      </c>
      <c r="D11" s="7">
        <v>5.6901472222222198</v>
      </c>
      <c r="E11" s="1">
        <v>14.7993710838808</v>
      </c>
      <c r="F11" s="18">
        <v>1.1E-4</v>
      </c>
      <c r="G11" s="7">
        <v>18.2</v>
      </c>
      <c r="H11" s="7">
        <v>110</v>
      </c>
      <c r="I11" s="7"/>
      <c r="J11" s="7"/>
      <c r="K11" s="7">
        <v>1</v>
      </c>
      <c r="L11" s="7">
        <v>2.84</v>
      </c>
      <c r="M11" s="7">
        <v>0.95</v>
      </c>
      <c r="N11" s="7">
        <v>0.01</v>
      </c>
      <c r="O11" s="7">
        <v>0.15</v>
      </c>
      <c r="P11" s="7">
        <v>0.1</v>
      </c>
      <c r="Q11" s="7">
        <v>1.4999999999999999E-2</v>
      </c>
      <c r="R11" s="7">
        <v>3.3010299956639813</v>
      </c>
      <c r="U11" s="7">
        <v>54.2</v>
      </c>
      <c r="V11" s="7">
        <v>9.1199999999999992</v>
      </c>
      <c r="X11" s="3"/>
      <c r="Y11" s="3"/>
      <c r="Z11" s="3"/>
    </row>
    <row r="12" spans="1:26" ht="27.6" x14ac:dyDescent="0.25">
      <c r="A12" s="23" t="s">
        <v>72</v>
      </c>
      <c r="B12" s="3" t="s">
        <v>39</v>
      </c>
      <c r="C12" s="17">
        <v>-72.946591666666677</v>
      </c>
      <c r="D12" s="17">
        <v>5.7285305555555546</v>
      </c>
      <c r="E12" s="1">
        <v>5.7367416508207967</v>
      </c>
      <c r="F12" s="18">
        <v>8.0000000000000004E-4</v>
      </c>
      <c r="G12" s="7">
        <v>15.8</v>
      </c>
      <c r="H12" s="7">
        <v>1110</v>
      </c>
      <c r="I12" s="7">
        <v>88.7</v>
      </c>
      <c r="J12" s="7"/>
      <c r="K12" s="7">
        <v>104</v>
      </c>
      <c r="L12" s="7">
        <v>63.27</v>
      </c>
      <c r="M12" s="7">
        <v>57</v>
      </c>
      <c r="N12" s="7">
        <v>9.7999999999999997E-3</v>
      </c>
      <c r="O12" s="7">
        <v>0.02</v>
      </c>
      <c r="P12" s="7">
        <v>63.1</v>
      </c>
      <c r="Q12" s="7">
        <v>3.5</v>
      </c>
      <c r="R12" s="4"/>
      <c r="T12" s="4"/>
      <c r="U12" s="7">
        <v>328</v>
      </c>
      <c r="V12" s="7">
        <v>7.4</v>
      </c>
      <c r="X12" s="3"/>
      <c r="Y12" s="3"/>
      <c r="Z12" s="3"/>
    </row>
    <row r="13" spans="1:26" x14ac:dyDescent="0.25">
      <c r="A13" s="22" t="s">
        <v>87</v>
      </c>
      <c r="B13" s="3" t="s">
        <v>39</v>
      </c>
      <c r="C13" s="7">
        <v>-72.926249999999982</v>
      </c>
      <c r="D13" s="7">
        <v>5.7518611110000393</v>
      </c>
      <c r="E13" s="1">
        <v>1.6850449726807994</v>
      </c>
      <c r="F13" s="18">
        <f>15.32/1000</f>
        <v>1.532E-2</v>
      </c>
      <c r="G13" s="1">
        <v>21.11</v>
      </c>
      <c r="H13" s="6">
        <v>808.5</v>
      </c>
      <c r="I13" s="1">
        <v>53</v>
      </c>
      <c r="J13" s="1">
        <v>2.02</v>
      </c>
      <c r="K13" s="1">
        <v>434</v>
      </c>
      <c r="L13" s="1">
        <v>11.2</v>
      </c>
      <c r="M13" s="1">
        <v>8.1999999999999993</v>
      </c>
      <c r="N13" s="1">
        <v>0.03</v>
      </c>
      <c r="O13" s="1">
        <v>4.4999999999999998E-2</v>
      </c>
      <c r="P13" s="1">
        <v>7.7</v>
      </c>
      <c r="Q13" s="1">
        <v>5</v>
      </c>
      <c r="R13" s="1">
        <v>6.6637951222194074</v>
      </c>
      <c r="T13" s="1">
        <v>5.4082399653118491</v>
      </c>
      <c r="U13" s="1">
        <v>323</v>
      </c>
      <c r="V13" s="1">
        <v>6.87</v>
      </c>
      <c r="X13" s="3"/>
      <c r="Y13" s="3"/>
      <c r="Z13" s="3"/>
    </row>
    <row r="14" spans="1:26" x14ac:dyDescent="0.25">
      <c r="A14" s="22" t="s">
        <v>88</v>
      </c>
      <c r="B14" s="3" t="s">
        <v>39</v>
      </c>
      <c r="C14" s="7">
        <v>-72.925305555999955</v>
      </c>
      <c r="D14" s="7">
        <v>5.7522222220000572</v>
      </c>
      <c r="E14" s="1">
        <v>1.5783517228038022</v>
      </c>
      <c r="F14" s="18">
        <v>3.2000000000000003E-4</v>
      </c>
      <c r="G14" s="1">
        <v>18.5</v>
      </c>
      <c r="H14" s="6">
        <v>530.20000000000005</v>
      </c>
      <c r="I14" s="1">
        <v>10</v>
      </c>
      <c r="J14" s="1">
        <v>2.29</v>
      </c>
      <c r="K14" s="1">
        <v>54.6</v>
      </c>
      <c r="L14" s="1">
        <v>30.7</v>
      </c>
      <c r="M14" s="1">
        <v>22.4</v>
      </c>
      <c r="N14" s="1">
        <v>0.03</v>
      </c>
      <c r="O14" s="1">
        <v>4.4999999999999998E-2</v>
      </c>
      <c r="P14" s="1">
        <v>8.8000000000000007</v>
      </c>
      <c r="Q14" s="1">
        <v>3.1</v>
      </c>
      <c r="R14" s="1">
        <v>6.2211533219547048</v>
      </c>
      <c r="T14" s="1">
        <v>5.6812412373755876</v>
      </c>
      <c r="U14" s="1">
        <v>201</v>
      </c>
      <c r="V14" s="1">
        <v>6.97</v>
      </c>
      <c r="X14" s="3"/>
      <c r="Y14" s="3"/>
      <c r="Z14" s="3"/>
    </row>
    <row r="15" spans="1:26" x14ac:dyDescent="0.25">
      <c r="A15" s="22" t="s">
        <v>89</v>
      </c>
      <c r="B15" s="3" t="s">
        <v>39</v>
      </c>
      <c r="C15" s="7">
        <v>-72.925040456999966</v>
      </c>
      <c r="D15" s="7">
        <v>5.7525174300000685</v>
      </c>
      <c r="E15" s="1">
        <v>1.5369373114521991</v>
      </c>
      <c r="F15" s="18">
        <v>2.7800000000000002E-2</v>
      </c>
      <c r="G15" s="1">
        <v>18.399999999999999</v>
      </c>
      <c r="H15" s="6">
        <v>854.5</v>
      </c>
      <c r="I15" s="1">
        <v>37.1</v>
      </c>
      <c r="J15" s="1">
        <v>2.71</v>
      </c>
      <c r="K15" s="1">
        <v>94.7</v>
      </c>
      <c r="L15" s="1">
        <v>46.9</v>
      </c>
      <c r="M15" s="1">
        <v>30</v>
      </c>
      <c r="N15" s="1">
        <v>0.03</v>
      </c>
      <c r="O15" s="1">
        <v>4.4999999999999998E-2</v>
      </c>
      <c r="P15" s="1">
        <v>12.9</v>
      </c>
      <c r="Q15" s="1">
        <v>4.4000000000000004</v>
      </c>
      <c r="R15" s="1">
        <v>6.3837435758353127</v>
      </c>
      <c r="T15" s="1">
        <v>6.2980448426009801</v>
      </c>
      <c r="U15" s="1">
        <v>309</v>
      </c>
      <c r="V15" s="1">
        <v>7.33</v>
      </c>
      <c r="X15" s="3"/>
      <c r="Y15" s="3"/>
      <c r="Z15" s="3"/>
    </row>
    <row r="16" spans="1:26" x14ac:dyDescent="0.25">
      <c r="A16" s="22" t="s">
        <v>90</v>
      </c>
      <c r="B16" s="3" t="s">
        <v>39</v>
      </c>
      <c r="C16" s="7">
        <v>-72.919027777999986</v>
      </c>
      <c r="D16" s="7">
        <v>5.7547500000000582</v>
      </c>
      <c r="E16" s="1">
        <v>0.82552881391620048</v>
      </c>
      <c r="F16" s="18">
        <v>2.5200000000000001E-3</v>
      </c>
      <c r="G16" s="1">
        <v>23.1</v>
      </c>
      <c r="H16" s="1">
        <v>1465</v>
      </c>
      <c r="I16" s="1">
        <v>19</v>
      </c>
      <c r="K16" s="1">
        <v>6</v>
      </c>
      <c r="L16" s="1">
        <v>7.8390000000000004</v>
      </c>
      <c r="M16" s="1">
        <v>1.96</v>
      </c>
      <c r="N16" s="1">
        <v>0.32100000000000001</v>
      </c>
      <c r="O16" s="1">
        <v>1.9</v>
      </c>
      <c r="P16" s="1">
        <v>1.07</v>
      </c>
      <c r="V16" s="1">
        <v>7.47</v>
      </c>
      <c r="X16" s="3"/>
      <c r="Y16" s="3"/>
      <c r="Z16" s="3"/>
    </row>
    <row r="17" spans="1:26" x14ac:dyDescent="0.25">
      <c r="A17" s="22" t="s">
        <v>91</v>
      </c>
      <c r="B17" s="3" t="s">
        <v>39</v>
      </c>
      <c r="C17" s="7">
        <v>-72.918861110999956</v>
      </c>
      <c r="D17" s="7">
        <v>5.7548055560000648</v>
      </c>
      <c r="E17" s="1">
        <v>0.80432829907100256</v>
      </c>
      <c r="F17" s="18">
        <v>2.5000000000000001E-4</v>
      </c>
      <c r="G17" s="1">
        <v>20.76</v>
      </c>
      <c r="H17" s="6">
        <v>785.4</v>
      </c>
      <c r="I17" s="1">
        <v>55.7</v>
      </c>
      <c r="J17" s="1">
        <v>0.68</v>
      </c>
      <c r="K17" s="1">
        <v>232</v>
      </c>
      <c r="L17" s="1">
        <v>48.8</v>
      </c>
      <c r="M17" s="1">
        <v>35.1</v>
      </c>
      <c r="N17" s="1">
        <v>0.03</v>
      </c>
      <c r="O17" s="1">
        <v>4.4999999999999998E-2</v>
      </c>
      <c r="P17" s="1">
        <v>16.899999999999999</v>
      </c>
      <c r="Q17" s="1">
        <v>5.6</v>
      </c>
      <c r="R17" s="1">
        <v>6.3506356082589548</v>
      </c>
      <c r="T17" s="1">
        <v>5.9914033025800402</v>
      </c>
      <c r="U17" s="1">
        <v>299</v>
      </c>
      <c r="V17" s="1">
        <v>7.22</v>
      </c>
      <c r="X17" s="3"/>
      <c r="Y17" s="3"/>
      <c r="Z17" s="3"/>
    </row>
    <row r="18" spans="1:26" x14ac:dyDescent="0.25">
      <c r="A18" s="22" t="s">
        <v>79</v>
      </c>
      <c r="B18" s="1" t="s">
        <v>85</v>
      </c>
      <c r="C18" s="3">
        <v>-73.015277777777783</v>
      </c>
      <c r="D18" s="3">
        <v>5.4558777777777783</v>
      </c>
      <c r="E18" s="1">
        <v>49.621165154635996</v>
      </c>
      <c r="F18" s="1">
        <v>2.0039999999999999E-2</v>
      </c>
      <c r="X18" s="3"/>
      <c r="Y18" s="3"/>
      <c r="Z18" s="3"/>
    </row>
    <row r="19" spans="1:26" x14ac:dyDescent="0.25">
      <c r="A19" s="22" t="s">
        <v>80</v>
      </c>
      <c r="B19" s="1" t="s">
        <v>85</v>
      </c>
      <c r="C19" s="3">
        <v>-72.984491666666671</v>
      </c>
      <c r="D19" s="3">
        <v>5.5868305555555553</v>
      </c>
      <c r="E19" s="3">
        <v>29.092051463236</v>
      </c>
      <c r="F19" s="1">
        <v>3.65E-3</v>
      </c>
      <c r="X19" s="3"/>
      <c r="Y19" s="3"/>
      <c r="Z19" s="3"/>
    </row>
    <row r="20" spans="1:26" x14ac:dyDescent="0.25">
      <c r="A20" s="22" t="s">
        <v>81</v>
      </c>
      <c r="B20" s="1" t="s">
        <v>85</v>
      </c>
      <c r="C20" s="3">
        <v>-72.985277777777782</v>
      </c>
      <c r="D20" s="3">
        <v>5.6869166666666668</v>
      </c>
      <c r="E20" s="3">
        <v>14.614208117836</v>
      </c>
      <c r="F20" s="1">
        <v>1.06E-3</v>
      </c>
      <c r="X20" s="3"/>
      <c r="Y20" s="3"/>
      <c r="Z20" s="3"/>
    </row>
    <row r="21" spans="1:26" x14ac:dyDescent="0.25">
      <c r="A21" s="22" t="s">
        <v>82</v>
      </c>
      <c r="B21" s="1" t="s">
        <v>85</v>
      </c>
      <c r="C21" s="3">
        <v>-72.981666666666698</v>
      </c>
      <c r="D21" s="3">
        <v>5.69</v>
      </c>
      <c r="E21" s="3">
        <v>13.462709201326</v>
      </c>
      <c r="F21" s="1">
        <v>2.0199999999999999E-2</v>
      </c>
      <c r="X21" s="3"/>
      <c r="Y21" s="3"/>
      <c r="Z21" s="3"/>
    </row>
    <row r="22" spans="1:26" x14ac:dyDescent="0.25">
      <c r="A22" s="22" t="s">
        <v>83</v>
      </c>
      <c r="B22" s="1" t="s">
        <v>85</v>
      </c>
      <c r="C22" s="3">
        <v>-72.98115833333334</v>
      </c>
      <c r="D22" s="3">
        <v>5.6909194444444449</v>
      </c>
      <c r="E22" s="3">
        <v>13.3498114816</v>
      </c>
      <c r="F22" s="1">
        <v>3.0999999999999999E-3</v>
      </c>
      <c r="X22" s="3"/>
      <c r="Y22" s="3"/>
      <c r="Z22" s="3"/>
    </row>
    <row r="23" spans="1:26" x14ac:dyDescent="0.25">
      <c r="A23" s="22" t="s">
        <v>84</v>
      </c>
      <c r="B23" s="1" t="s">
        <v>85</v>
      </c>
      <c r="C23" s="3">
        <v>-72.972527777777785</v>
      </c>
      <c r="D23" s="3">
        <v>5.6936666666666671</v>
      </c>
      <c r="E23" s="3">
        <v>12.304252666899998</v>
      </c>
      <c r="F23" s="1">
        <v>1.21E-4</v>
      </c>
      <c r="X23" s="3"/>
      <c r="Y23" s="3"/>
      <c r="Z23" s="3"/>
    </row>
    <row r="24" spans="1:26" x14ac:dyDescent="0.25">
      <c r="A24" s="22" t="s">
        <v>54</v>
      </c>
      <c r="B24" s="3" t="s">
        <v>39</v>
      </c>
      <c r="C24" s="17">
        <v>-72.994226944444449</v>
      </c>
      <c r="D24" s="17">
        <v>5.6519058333333341</v>
      </c>
      <c r="E24" s="3">
        <v>19.570050173073398</v>
      </c>
      <c r="F24" s="1">
        <v>0.11178800000000003</v>
      </c>
      <c r="G24" s="1">
        <v>15.4</v>
      </c>
      <c r="H24" s="1">
        <v>952</v>
      </c>
      <c r="I24" s="1">
        <v>6</v>
      </c>
      <c r="J24" s="1">
        <v>3.35</v>
      </c>
      <c r="K24" s="1">
        <v>4</v>
      </c>
      <c r="L24" s="1">
        <v>1.7</v>
      </c>
      <c r="M24" s="1">
        <v>0.57999999999999996</v>
      </c>
      <c r="N24" s="1">
        <v>8.9999999999999993E-3</v>
      </c>
      <c r="O24" s="1">
        <v>0.3</v>
      </c>
      <c r="P24" s="1">
        <v>0.9</v>
      </c>
      <c r="Q24" s="1">
        <v>7.0000000000000007E-2</v>
      </c>
      <c r="R24" s="4">
        <v>2.9722028383790646</v>
      </c>
      <c r="U24" s="1">
        <v>26</v>
      </c>
      <c r="V24" s="1">
        <v>7.3</v>
      </c>
      <c r="X24" s="3"/>
      <c r="Y24" s="3"/>
      <c r="Z24" s="3"/>
    </row>
    <row r="25" spans="1:26" x14ac:dyDescent="0.25">
      <c r="A25" s="5" t="s">
        <v>61</v>
      </c>
      <c r="B25" s="3" t="s">
        <v>39</v>
      </c>
      <c r="C25" s="1">
        <v>-72.939650999999998</v>
      </c>
      <c r="D25" s="1">
        <v>5.7397799999999997</v>
      </c>
      <c r="E25" s="3">
        <v>3.986210403973395</v>
      </c>
      <c r="F25" s="1">
        <v>0.22889999999999999</v>
      </c>
      <c r="G25" s="1">
        <v>22.4</v>
      </c>
      <c r="H25" s="1">
        <v>1028.5</v>
      </c>
      <c r="I25" s="1">
        <v>125</v>
      </c>
      <c r="J25" s="1">
        <v>1.5</v>
      </c>
      <c r="K25" s="1">
        <v>350</v>
      </c>
      <c r="L25" s="1">
        <v>63.3</v>
      </c>
      <c r="M25" s="1">
        <v>48.7</v>
      </c>
      <c r="N25" s="1">
        <v>3.5000000000000001E-3</v>
      </c>
      <c r="O25" s="1">
        <v>1</v>
      </c>
      <c r="P25" s="1">
        <v>3.42</v>
      </c>
      <c r="Q25" s="1">
        <v>1.0900000000000001</v>
      </c>
      <c r="R25" s="4">
        <v>6.1911714557285586</v>
      </c>
      <c r="S25" s="4">
        <v>5.910090545594068</v>
      </c>
      <c r="T25" s="4">
        <v>5.910090545594068</v>
      </c>
      <c r="U25" s="1">
        <v>198</v>
      </c>
      <c r="V25" s="1">
        <v>7.03</v>
      </c>
      <c r="X25" s="3"/>
      <c r="Y25" s="3"/>
      <c r="Z25" s="3"/>
    </row>
    <row r="26" spans="1:26" x14ac:dyDescent="0.25">
      <c r="A26" s="5" t="s">
        <v>62</v>
      </c>
      <c r="B26" s="3" t="s">
        <v>39</v>
      </c>
      <c r="C26" s="1">
        <v>-72.939154000000002</v>
      </c>
      <c r="D26" s="1">
        <v>5.7396149999999997</v>
      </c>
      <c r="E26" s="3">
        <v>3.9377614488119974</v>
      </c>
      <c r="F26" s="3">
        <v>0.51690000000000003</v>
      </c>
      <c r="G26" s="3">
        <v>21.1</v>
      </c>
      <c r="H26" s="3">
        <v>284</v>
      </c>
      <c r="J26" s="3">
        <v>2.75</v>
      </c>
      <c r="K26" s="3">
        <v>57</v>
      </c>
      <c r="L26" s="3">
        <v>8.4</v>
      </c>
      <c r="M26" s="3">
        <v>7.7</v>
      </c>
      <c r="O26" s="3">
        <v>0.77810000000000001</v>
      </c>
      <c r="T26" s="3">
        <v>2.3727279408855955</v>
      </c>
      <c r="X26" s="3"/>
      <c r="Y26" s="3"/>
      <c r="Z26" s="3"/>
    </row>
    <row r="27" spans="1:26" s="3" customFormat="1" x14ac:dyDescent="0.25">
      <c r="A27" s="22" t="s">
        <v>92</v>
      </c>
      <c r="B27" s="3" t="s">
        <v>39</v>
      </c>
      <c r="C27" s="7">
        <v>-72.937360999999996</v>
      </c>
      <c r="D27" s="7">
        <v>5.7473890000000001</v>
      </c>
      <c r="E27" s="20">
        <v>2.9398080821699963</v>
      </c>
      <c r="F27" s="21">
        <v>0.55338699999999996</v>
      </c>
      <c r="G27" s="1">
        <v>17.899999999999999</v>
      </c>
      <c r="H27" s="6">
        <v>3900</v>
      </c>
      <c r="I27" s="1">
        <v>26</v>
      </c>
      <c r="J27" s="1">
        <v>2.95</v>
      </c>
      <c r="K27" s="1">
        <v>136</v>
      </c>
      <c r="L27" s="1">
        <v>5.6</v>
      </c>
      <c r="M27" s="1">
        <v>4.2</v>
      </c>
      <c r="N27" s="1">
        <v>1.7999999999999999E-2</v>
      </c>
      <c r="O27" s="1">
        <v>0.4</v>
      </c>
      <c r="P27" s="1">
        <v>0.21</v>
      </c>
      <c r="Q27" s="1">
        <v>5.0000000000000001E-3</v>
      </c>
      <c r="R27" s="4">
        <v>7.0358298252528284</v>
      </c>
      <c r="S27" s="4">
        <v>6.0228406108765276</v>
      </c>
      <c r="T27" s="4">
        <v>6.0094508957986941</v>
      </c>
      <c r="U27" s="1">
        <v>47</v>
      </c>
      <c r="V27" s="1">
        <v>7.1</v>
      </c>
    </row>
    <row r="31" spans="1:26" x14ac:dyDescent="0.3">
      <c r="F31" s="1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8C06-801F-46EA-BB22-388546B45E90}">
  <sheetPr codeName="Hoja3"/>
  <dimension ref="A1:W38"/>
  <sheetViews>
    <sheetView zoomScaleNormal="100" workbookViewId="0">
      <selection activeCell="E18" sqref="E18"/>
    </sheetView>
  </sheetViews>
  <sheetFormatPr baseColWidth="10" defaultColWidth="11.5546875" defaultRowHeight="13.8" x14ac:dyDescent="0.25"/>
  <cols>
    <col min="1" max="1" width="60" style="2" customWidth="1"/>
    <col min="2" max="2" width="11.5546875" style="2" customWidth="1"/>
    <col min="3" max="3" width="11.109375" style="2" bestFit="1" customWidth="1"/>
    <col min="4" max="4" width="13" style="2" bestFit="1" customWidth="1"/>
    <col min="5" max="5" width="19.77734375" style="2" customWidth="1"/>
    <col min="6" max="6" width="13.21875" style="1" bestFit="1" customWidth="1"/>
    <col min="7" max="7" width="15" style="2" bestFit="1" customWidth="1"/>
    <col min="8" max="8" width="11.5546875" style="2"/>
    <col min="9" max="9" width="17.6640625" style="2" bestFit="1" customWidth="1"/>
    <col min="10" max="11" width="11.5546875" style="2"/>
    <col min="12" max="12" width="22.109375" style="2" bestFit="1" customWidth="1"/>
    <col min="13" max="14" width="11.5546875" style="2"/>
    <col min="15" max="15" width="15" style="2" bestFit="1" customWidth="1"/>
    <col min="16" max="16" width="14.33203125" style="2" bestFit="1" customWidth="1"/>
    <col min="17" max="17" width="19.77734375" style="2" bestFit="1" customWidth="1"/>
    <col min="18" max="18" width="29.21875" style="2" bestFit="1" customWidth="1"/>
    <col min="19" max="19" width="11.5546875" style="2"/>
    <col min="20" max="20" width="12" style="2" bestFit="1" customWidth="1"/>
    <col min="21" max="16384" width="11.5546875" style="2"/>
  </cols>
  <sheetData>
    <row r="1" spans="1:23" x14ac:dyDescent="0.25">
      <c r="A1" s="3" t="s">
        <v>34</v>
      </c>
      <c r="B1" s="3" t="s">
        <v>4</v>
      </c>
      <c r="C1" s="3" t="s">
        <v>5</v>
      </c>
      <c r="D1" s="1" t="s">
        <v>17</v>
      </c>
      <c r="E1" s="3" t="s">
        <v>18</v>
      </c>
      <c r="F1" s="1" t="s">
        <v>37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3" s="16" customFormat="1" ht="17.399999999999999" customHeight="1" x14ac:dyDescent="0.3">
      <c r="A2" s="16" t="s">
        <v>50</v>
      </c>
      <c r="B2" s="16">
        <v>-73.016000000000005</v>
      </c>
      <c r="C2" s="16">
        <v>5.4574999999999996</v>
      </c>
      <c r="D2" s="28">
        <v>51.487072953491399</v>
      </c>
      <c r="E2" s="16">
        <v>9.1590000000000005E-2</v>
      </c>
      <c r="F2" s="16">
        <v>10</v>
      </c>
      <c r="G2" s="16">
        <v>32.5</v>
      </c>
      <c r="H2" s="16">
        <v>14.4</v>
      </c>
      <c r="I2" s="16">
        <v>8.0500000000000007</v>
      </c>
      <c r="J2" s="16">
        <v>5.5</v>
      </c>
      <c r="K2" s="16">
        <v>0.3</v>
      </c>
      <c r="L2" s="16">
        <v>0.05</v>
      </c>
      <c r="N2" s="16">
        <v>3.6999999999999998E-2</v>
      </c>
      <c r="O2" s="16">
        <v>0.13500000000000001</v>
      </c>
      <c r="P2" s="16">
        <v>8.7999999999999995E-2</v>
      </c>
      <c r="Q2" s="24">
        <v>3.2387735017206958</v>
      </c>
      <c r="S2" s="26">
        <v>2.9637878273455551</v>
      </c>
      <c r="T2" s="16">
        <v>10.5</v>
      </c>
      <c r="U2" s="16">
        <v>7.21</v>
      </c>
    </row>
    <row r="3" spans="1:23" x14ac:dyDescent="0.25">
      <c r="A3" s="11" t="s">
        <v>63</v>
      </c>
      <c r="B3" s="2">
        <v>-73.016000000000005</v>
      </c>
      <c r="C3" s="2">
        <v>5.4574999999999996</v>
      </c>
      <c r="D3" s="28">
        <v>51.487072953491399</v>
      </c>
      <c r="E3" s="10">
        <v>9.1590000000000005E-2</v>
      </c>
      <c r="F3" s="2">
        <v>10</v>
      </c>
      <c r="G3" s="2">
        <v>32.5</v>
      </c>
      <c r="H3" s="2">
        <v>14.4</v>
      </c>
      <c r="I3" s="2">
        <v>8.0500000000000007</v>
      </c>
      <c r="J3" s="2">
        <v>5.5</v>
      </c>
      <c r="K3" s="2">
        <v>0.3</v>
      </c>
      <c r="L3" s="2">
        <v>0.05</v>
      </c>
      <c r="N3" s="2">
        <v>3.6999999999999998E-2</v>
      </c>
      <c r="O3" s="2">
        <v>0.13500000000000001</v>
      </c>
      <c r="P3" s="2">
        <v>8.7999999999999995E-2</v>
      </c>
      <c r="Q3" s="25">
        <v>3.2387735017206958</v>
      </c>
      <c r="R3" s="16"/>
      <c r="S3" s="27">
        <v>2.9637878273455551</v>
      </c>
      <c r="T3" s="2">
        <v>10.5</v>
      </c>
      <c r="U3" s="2">
        <v>7.21</v>
      </c>
      <c r="W3" s="16"/>
    </row>
    <row r="4" spans="1:23" x14ac:dyDescent="0.25">
      <c r="A4" s="12" t="s">
        <v>64</v>
      </c>
      <c r="B4" s="13">
        <v>-73.016471999999993</v>
      </c>
      <c r="C4" s="13">
        <v>5.482056</v>
      </c>
      <c r="D4" s="29">
        <v>46.046555729841401</v>
      </c>
      <c r="E4" s="10">
        <v>0.31217</v>
      </c>
      <c r="F4" s="2">
        <v>11</v>
      </c>
      <c r="G4" s="2">
        <v>42.5</v>
      </c>
      <c r="H4" s="2">
        <v>4.5999999999999996</v>
      </c>
      <c r="I4" s="2">
        <v>7.95</v>
      </c>
      <c r="J4" s="2">
        <v>3.4</v>
      </c>
      <c r="K4" s="2">
        <v>0.48</v>
      </c>
      <c r="L4" s="2">
        <v>0.1</v>
      </c>
      <c r="N4" s="2">
        <v>0.21099999999999999</v>
      </c>
      <c r="O4" s="2">
        <v>9.4E-2</v>
      </c>
      <c r="P4" s="2">
        <v>0.04</v>
      </c>
      <c r="Q4" s="25">
        <v>3.1911994197015185</v>
      </c>
      <c r="R4" s="16"/>
      <c r="S4" s="27">
        <v>2.5352941200427703</v>
      </c>
      <c r="T4" s="2">
        <v>13</v>
      </c>
      <c r="U4" s="2">
        <v>6.12</v>
      </c>
      <c r="W4" s="16"/>
    </row>
    <row r="5" spans="1:23" x14ac:dyDescent="0.25">
      <c r="A5" s="12" t="s">
        <v>65</v>
      </c>
      <c r="B5" s="13">
        <v>-73.024194440000002</v>
      </c>
      <c r="C5" s="13">
        <v>5.534166667</v>
      </c>
      <c r="D5" s="29">
        <v>38.388759711191398</v>
      </c>
      <c r="E5" s="10">
        <v>0.40132999999999996</v>
      </c>
      <c r="F5" s="2">
        <v>10.5</v>
      </c>
      <c r="G5" s="2">
        <v>144.5</v>
      </c>
      <c r="H5" s="2">
        <v>2.6</v>
      </c>
      <c r="I5" s="2">
        <v>6.1</v>
      </c>
      <c r="J5" s="2">
        <v>4.5999999999999996</v>
      </c>
      <c r="K5" s="2">
        <v>0.62</v>
      </c>
      <c r="L5" s="2">
        <v>0.12</v>
      </c>
      <c r="N5" s="2">
        <v>0.04</v>
      </c>
      <c r="O5" s="2">
        <v>0.22</v>
      </c>
      <c r="P5" s="2">
        <v>0.32</v>
      </c>
      <c r="Q5" s="25">
        <v>3.5880474969860829</v>
      </c>
      <c r="R5" s="16"/>
      <c r="S5" s="27">
        <v>4.1742633809951215</v>
      </c>
      <c r="T5" s="2">
        <v>46</v>
      </c>
      <c r="U5" s="2">
        <v>7.98</v>
      </c>
      <c r="W5" s="16"/>
    </row>
    <row r="6" spans="1:23" x14ac:dyDescent="0.25">
      <c r="A6" s="12" t="s">
        <v>66</v>
      </c>
      <c r="B6" s="13">
        <v>-73.003097220000001</v>
      </c>
      <c r="C6" s="13">
        <v>5.5556111110000002</v>
      </c>
      <c r="D6" s="29">
        <v>34.330384997371397</v>
      </c>
      <c r="E6" s="10">
        <v>0.38553999999999999</v>
      </c>
      <c r="F6" s="2">
        <v>20.7</v>
      </c>
      <c r="G6" s="2">
        <v>159.5</v>
      </c>
      <c r="H6" s="2">
        <v>29.2</v>
      </c>
      <c r="I6" s="2">
        <v>7.7</v>
      </c>
      <c r="J6" s="2">
        <v>5.5</v>
      </c>
      <c r="K6" s="2">
        <v>0.71</v>
      </c>
      <c r="L6" s="2">
        <v>0.19</v>
      </c>
      <c r="N6" s="2">
        <v>0.05</v>
      </c>
      <c r="O6" s="2">
        <v>0.16</v>
      </c>
      <c r="P6" s="2">
        <v>0.16</v>
      </c>
      <c r="Q6" s="25">
        <v>3.2387735017206958</v>
      </c>
      <c r="R6" s="16"/>
      <c r="S6" s="27">
        <v>2.9237619608287004</v>
      </c>
      <c r="T6" s="2">
        <v>44.6</v>
      </c>
      <c r="U6" s="2">
        <v>7.58</v>
      </c>
      <c r="W6" s="16"/>
    </row>
    <row r="7" spans="1:23" x14ac:dyDescent="0.25">
      <c r="A7" s="12" t="s">
        <v>67</v>
      </c>
      <c r="B7" s="13">
        <v>-72.991100829999993</v>
      </c>
      <c r="C7" s="13">
        <v>5.5708363890000001</v>
      </c>
      <c r="D7" s="29">
        <v>31.4889483664614</v>
      </c>
      <c r="E7" s="10">
        <v>0.35079000000000005</v>
      </c>
      <c r="F7" s="2">
        <v>13.1</v>
      </c>
      <c r="G7" s="2">
        <v>282.5</v>
      </c>
      <c r="H7" s="2">
        <v>15</v>
      </c>
      <c r="I7" s="2">
        <v>6.25</v>
      </c>
      <c r="J7" s="2">
        <v>8.6</v>
      </c>
      <c r="K7" s="2">
        <v>0.45</v>
      </c>
      <c r="L7" s="2">
        <v>0.16</v>
      </c>
      <c r="N7" s="2">
        <v>0.04</v>
      </c>
      <c r="O7" s="2">
        <v>0.18</v>
      </c>
      <c r="P7" s="2">
        <v>0.13</v>
      </c>
      <c r="Q7" s="25">
        <v>4.1176026916900845</v>
      </c>
      <c r="R7" s="16"/>
      <c r="S7" s="27">
        <v>2.911902996044033</v>
      </c>
      <c r="T7" s="2">
        <v>92.4</v>
      </c>
      <c r="U7" s="2">
        <v>6.92</v>
      </c>
      <c r="W7" s="16"/>
    </row>
    <row r="8" spans="1:23" x14ac:dyDescent="0.25">
      <c r="A8" s="12" t="s">
        <v>68</v>
      </c>
      <c r="B8" s="13">
        <v>-72.984333000000007</v>
      </c>
      <c r="C8" s="13">
        <v>5.5865</v>
      </c>
      <c r="D8" s="29">
        <v>29.127553173381401</v>
      </c>
      <c r="E8" s="10">
        <v>0.28349000000000002</v>
      </c>
      <c r="F8" s="2">
        <v>13.5</v>
      </c>
      <c r="G8" s="2">
        <v>299.5</v>
      </c>
      <c r="H8" s="2">
        <v>6.2</v>
      </c>
      <c r="I8" s="2">
        <v>3.2</v>
      </c>
      <c r="J8" s="2">
        <v>15.4</v>
      </c>
      <c r="K8" s="2">
        <v>0.94</v>
      </c>
      <c r="L8" s="2">
        <v>0.23</v>
      </c>
      <c r="N8" s="2">
        <v>0.1</v>
      </c>
      <c r="O8" s="2">
        <v>0.15</v>
      </c>
      <c r="P8" s="2">
        <v>7.0000000000000007E-2</v>
      </c>
      <c r="Q8" s="25">
        <v>4.4637437212470594</v>
      </c>
      <c r="R8" s="16"/>
      <c r="S8" s="27">
        <v>2.911902996044033</v>
      </c>
      <c r="T8" s="2">
        <v>101</v>
      </c>
      <c r="U8" s="2">
        <v>7.67</v>
      </c>
      <c r="W8" s="16"/>
    </row>
    <row r="9" spans="1:23" x14ac:dyDescent="0.25">
      <c r="A9" s="12" t="s">
        <v>69</v>
      </c>
      <c r="B9" s="13">
        <v>-72.980944440000002</v>
      </c>
      <c r="C9" s="13">
        <v>5.6068055560000003</v>
      </c>
      <c r="D9" s="29">
        <v>26.138626146391402</v>
      </c>
      <c r="E9" s="10">
        <v>0.33107999999999999</v>
      </c>
      <c r="F9" s="2">
        <v>13.3</v>
      </c>
      <c r="G9" s="2">
        <v>248.5</v>
      </c>
      <c r="H9" s="2">
        <v>28.2</v>
      </c>
      <c r="I9" s="2">
        <v>4.7</v>
      </c>
      <c r="J9" s="2">
        <v>14</v>
      </c>
      <c r="K9" s="2">
        <v>0.31</v>
      </c>
      <c r="L9" s="2">
        <v>0.19</v>
      </c>
      <c r="N9" s="2">
        <v>0.24</v>
      </c>
      <c r="O9" s="2">
        <v>0.28000000000000003</v>
      </c>
      <c r="P9" s="2">
        <v>0.06</v>
      </c>
      <c r="Q9" s="25">
        <v>4.1271047983648073</v>
      </c>
      <c r="R9" s="16"/>
      <c r="S9" s="27">
        <v>3.1503265364987074</v>
      </c>
      <c r="T9" s="2">
        <v>84.2</v>
      </c>
      <c r="U9" s="2">
        <v>7.63</v>
      </c>
      <c r="W9" s="16"/>
    </row>
    <row r="10" spans="1:23" x14ac:dyDescent="0.25">
      <c r="A10" s="12" t="s">
        <v>70</v>
      </c>
      <c r="B10" s="13">
        <v>-72.982888889999998</v>
      </c>
      <c r="C10" s="13">
        <v>5.6198611109999996</v>
      </c>
      <c r="D10" s="29">
        <v>24.330876627921402</v>
      </c>
      <c r="E10" s="10">
        <v>0.29174</v>
      </c>
      <c r="F10" s="2">
        <v>14.6</v>
      </c>
      <c r="G10" s="2">
        <v>267</v>
      </c>
      <c r="H10" s="2">
        <v>8.1999999999999993</v>
      </c>
      <c r="I10" s="2">
        <v>5.9</v>
      </c>
      <c r="J10" s="2">
        <v>18.8</v>
      </c>
      <c r="K10" s="2">
        <v>0.38</v>
      </c>
      <c r="L10" s="2">
        <v>0.16</v>
      </c>
      <c r="N10" s="2">
        <v>2.1</v>
      </c>
      <c r="O10" s="2">
        <v>0.48</v>
      </c>
      <c r="P10" s="2">
        <v>0.22</v>
      </c>
      <c r="Q10" s="25">
        <v>4.6109793799229974</v>
      </c>
      <c r="R10" s="16"/>
      <c r="S10" s="27">
        <v>3.2979792441593623</v>
      </c>
      <c r="T10" s="2">
        <v>84.8</v>
      </c>
      <c r="U10" s="2">
        <v>7.62</v>
      </c>
      <c r="W10" s="16"/>
    </row>
    <row r="11" spans="1:23" x14ac:dyDescent="0.25">
      <c r="A11" s="12" t="s">
        <v>71</v>
      </c>
      <c r="B11" s="13">
        <v>-72.985839999999996</v>
      </c>
      <c r="C11" s="13">
        <v>5.6244139999999998</v>
      </c>
      <c r="D11" s="29">
        <v>23.632272252358401</v>
      </c>
      <c r="E11" s="10">
        <v>0.23482</v>
      </c>
      <c r="F11" s="2">
        <v>17.5</v>
      </c>
      <c r="G11" s="2">
        <v>267.5</v>
      </c>
      <c r="H11" s="2">
        <v>6</v>
      </c>
      <c r="I11" s="2">
        <v>3.5</v>
      </c>
      <c r="J11" s="2">
        <v>13</v>
      </c>
      <c r="K11" s="2">
        <v>0.51</v>
      </c>
      <c r="L11" s="2">
        <v>0.18</v>
      </c>
      <c r="N11" s="2">
        <v>1.6</v>
      </c>
      <c r="O11" s="2">
        <v>0.44</v>
      </c>
      <c r="P11" s="2">
        <v>0.32</v>
      </c>
      <c r="Q11" s="25">
        <v>3.8984509191983747</v>
      </c>
      <c r="R11" s="16"/>
      <c r="S11" s="27">
        <v>3.8394780473741985</v>
      </c>
      <c r="T11" s="2">
        <v>85.6</v>
      </c>
      <c r="U11" s="2">
        <v>7.31</v>
      </c>
      <c r="W11" s="16"/>
    </row>
    <row r="12" spans="1:23" x14ac:dyDescent="0.25">
      <c r="A12" s="12" t="s">
        <v>78</v>
      </c>
      <c r="B12" s="13">
        <v>-72.99377278</v>
      </c>
      <c r="C12" s="13">
        <v>5.6534511109999999</v>
      </c>
      <c r="D12" s="29">
        <v>19.382147762978398</v>
      </c>
      <c r="E12" s="10">
        <v>0.34660800000000003</v>
      </c>
      <c r="F12" s="2">
        <v>16.45</v>
      </c>
      <c r="G12" s="2">
        <v>127.4</v>
      </c>
      <c r="H12" s="2">
        <v>10</v>
      </c>
      <c r="I12" s="2">
        <v>4.5999999999999996</v>
      </c>
      <c r="J12" s="2">
        <v>2.5</v>
      </c>
      <c r="K12" s="2">
        <v>2.58</v>
      </c>
      <c r="L12" s="2">
        <v>0.215</v>
      </c>
      <c r="N12" s="2">
        <v>1.6420999999999999</v>
      </c>
      <c r="Q12" s="25"/>
      <c r="R12" s="3"/>
      <c r="S12" s="27">
        <v>3.2041199826559246</v>
      </c>
      <c r="T12" s="2">
        <v>33.03</v>
      </c>
      <c r="U12" s="2">
        <v>6.75</v>
      </c>
      <c r="W12" s="16"/>
    </row>
    <row r="13" spans="1:23" x14ac:dyDescent="0.25">
      <c r="A13" s="12" t="s">
        <v>73</v>
      </c>
      <c r="B13" s="13">
        <v>-72.996586109999996</v>
      </c>
      <c r="C13" s="13">
        <v>5.6694775000000002</v>
      </c>
      <c r="D13" s="29">
        <v>17.068488203878395</v>
      </c>
      <c r="E13" s="10">
        <v>0.35794300000000001</v>
      </c>
      <c r="F13" s="2">
        <v>16</v>
      </c>
      <c r="G13" s="2">
        <v>139.1</v>
      </c>
      <c r="H13" s="2">
        <v>31</v>
      </c>
      <c r="I13" s="2">
        <v>4</v>
      </c>
      <c r="J13" s="2">
        <v>45</v>
      </c>
      <c r="K13" s="2">
        <v>2.58</v>
      </c>
      <c r="L13" s="2">
        <v>0.215</v>
      </c>
      <c r="N13" s="2">
        <v>1.7892999999999999</v>
      </c>
      <c r="Q13" s="25"/>
      <c r="R13" s="3"/>
      <c r="S13" s="27">
        <v>2.2304489213782741</v>
      </c>
      <c r="T13" s="2">
        <v>34.44</v>
      </c>
      <c r="U13" s="2">
        <v>9.65</v>
      </c>
      <c r="W13" s="16"/>
    </row>
    <row r="14" spans="1:23" x14ac:dyDescent="0.25">
      <c r="A14" s="12" t="s">
        <v>74</v>
      </c>
      <c r="B14" s="13">
        <v>-72.995098889999994</v>
      </c>
      <c r="C14" s="13">
        <v>5.6731363889999997</v>
      </c>
      <c r="D14" s="29">
        <v>16.625788635933397</v>
      </c>
      <c r="E14" s="2">
        <v>0.378415</v>
      </c>
      <c r="F14" s="2">
        <v>16.8</v>
      </c>
      <c r="G14" s="2">
        <v>144.6</v>
      </c>
      <c r="H14" s="2">
        <v>6</v>
      </c>
      <c r="I14" s="2">
        <v>3.8</v>
      </c>
      <c r="J14" s="2">
        <v>2.5</v>
      </c>
      <c r="K14" s="2">
        <v>2.58</v>
      </c>
      <c r="L14" s="2">
        <v>0.215</v>
      </c>
      <c r="N14" s="2">
        <v>1.7521</v>
      </c>
      <c r="Q14" s="25"/>
      <c r="R14" s="3"/>
      <c r="S14" s="27">
        <v>2.6334684555795866</v>
      </c>
      <c r="T14" s="2">
        <v>35.65</v>
      </c>
      <c r="U14" s="2">
        <v>6.95</v>
      </c>
      <c r="W14" s="16"/>
    </row>
    <row r="15" spans="1:23" x14ac:dyDescent="0.25">
      <c r="A15" s="12" t="s">
        <v>75</v>
      </c>
      <c r="B15" s="13">
        <v>-72.976889</v>
      </c>
      <c r="C15" s="13">
        <v>5.6925829999999999</v>
      </c>
      <c r="D15" s="29">
        <v>12.875781889703397</v>
      </c>
      <c r="E15" s="2">
        <v>0.35341499999999998</v>
      </c>
      <c r="F15" s="2">
        <v>19.8</v>
      </c>
      <c r="G15" s="2">
        <v>347.5</v>
      </c>
      <c r="H15" s="2">
        <v>64.599999999999994</v>
      </c>
      <c r="I15" s="2">
        <v>5.95</v>
      </c>
      <c r="J15" s="2">
        <v>15.5</v>
      </c>
      <c r="K15" s="2">
        <v>0.68</v>
      </c>
      <c r="L15" s="2">
        <v>0.21</v>
      </c>
      <c r="N15" s="2">
        <v>0.14000000000000001</v>
      </c>
      <c r="O15" s="2">
        <v>0.19</v>
      </c>
      <c r="P15" s="2">
        <v>0.22</v>
      </c>
      <c r="Q15" s="25">
        <v>4.1503265364987074</v>
      </c>
      <c r="R15" s="16"/>
      <c r="S15" s="27">
        <v>1.7993405494535817</v>
      </c>
      <c r="T15" s="2">
        <v>145</v>
      </c>
      <c r="U15" s="2">
        <v>7.5</v>
      </c>
      <c r="W15" s="16"/>
    </row>
    <row r="16" spans="1:23" x14ac:dyDescent="0.25">
      <c r="A16" s="12" t="s">
        <v>76</v>
      </c>
      <c r="B16" s="13">
        <v>-72.939580000000007</v>
      </c>
      <c r="C16" s="13">
        <v>5.740138</v>
      </c>
      <c r="D16" s="29">
        <v>4.5</v>
      </c>
      <c r="E16" s="10">
        <v>0.59331500000000004</v>
      </c>
      <c r="F16" s="2">
        <v>19.149999999999999</v>
      </c>
      <c r="G16" s="2">
        <v>371</v>
      </c>
      <c r="H16" s="2">
        <v>9</v>
      </c>
      <c r="I16" s="2">
        <v>4.0999999999999996</v>
      </c>
      <c r="J16" s="2">
        <v>30</v>
      </c>
      <c r="K16" s="2">
        <v>2.5</v>
      </c>
      <c r="L16" s="2">
        <v>2.2400000000000002</v>
      </c>
      <c r="N16" s="2">
        <v>2.8</v>
      </c>
      <c r="Q16" s="25">
        <v>4.4183012913197457</v>
      </c>
      <c r="R16" s="16"/>
      <c r="S16" s="27">
        <v>2.3306166672944384</v>
      </c>
      <c r="T16" s="2">
        <v>50.35</v>
      </c>
      <c r="U16" s="2">
        <v>6.6</v>
      </c>
      <c r="W16" s="16"/>
    </row>
    <row r="17" spans="1:23" x14ac:dyDescent="0.25">
      <c r="A17" s="12" t="s">
        <v>77</v>
      </c>
      <c r="B17" s="13">
        <v>-72.937498000000005</v>
      </c>
      <c r="C17" s="13">
        <v>5.7473979999999996</v>
      </c>
      <c r="D17" s="29">
        <v>3.0396171882409959</v>
      </c>
      <c r="E17" s="2">
        <v>1.1102150000000002</v>
      </c>
      <c r="F17" s="2">
        <v>19.850000000000001</v>
      </c>
      <c r="G17" s="2">
        <v>536</v>
      </c>
      <c r="H17" s="2">
        <v>48</v>
      </c>
      <c r="I17" s="2">
        <v>0.05</v>
      </c>
      <c r="J17" s="2">
        <v>82</v>
      </c>
      <c r="Q17" s="25">
        <v>5.9777236052888476</v>
      </c>
      <c r="R17" s="16"/>
      <c r="S17" s="27">
        <v>3.2387735017206958</v>
      </c>
      <c r="T17" s="2">
        <v>158.87</v>
      </c>
      <c r="U17" s="2">
        <v>7.1</v>
      </c>
      <c r="W17" s="16"/>
    </row>
    <row r="18" spans="1:23" x14ac:dyDescent="0.25">
      <c r="A18" s="11" t="s">
        <v>93</v>
      </c>
      <c r="B18" s="7">
        <v>-72.915094444000005</v>
      </c>
      <c r="C18" s="7">
        <v>5.7563138890000003</v>
      </c>
      <c r="D18" s="29">
        <v>0.35646401923099802</v>
      </c>
      <c r="E18" s="2">
        <v>1.7395970000000001</v>
      </c>
      <c r="F18" s="2">
        <v>22.3</v>
      </c>
      <c r="G18" s="2">
        <v>1271</v>
      </c>
      <c r="H18" s="2">
        <v>109</v>
      </c>
      <c r="I18" s="2">
        <v>0.05</v>
      </c>
      <c r="J18" s="2">
        <v>121</v>
      </c>
      <c r="Q18" s="25">
        <v>6.0374264979406238</v>
      </c>
      <c r="R18" s="16"/>
      <c r="S18" s="27">
        <v>2.6963563887333319</v>
      </c>
      <c r="T18" s="2">
        <v>337.8</v>
      </c>
      <c r="U18" s="2">
        <v>7.4</v>
      </c>
      <c r="W18" s="16"/>
    </row>
    <row r="19" spans="1:23" x14ac:dyDescent="0.25">
      <c r="A19" s="7"/>
      <c r="B19" s="7"/>
      <c r="C19" s="7"/>
      <c r="D19" s="3"/>
      <c r="F19" s="2"/>
      <c r="R19" s="3"/>
    </row>
    <row r="20" spans="1:23" x14ac:dyDescent="0.25">
      <c r="A20" s="7"/>
      <c r="B20" s="7"/>
      <c r="C20" s="7"/>
      <c r="D20" s="3"/>
      <c r="F20" s="2"/>
      <c r="R20" s="3"/>
    </row>
    <row r="21" spans="1:23" x14ac:dyDescent="0.25">
      <c r="A21" s="7"/>
      <c r="B21" s="7"/>
      <c r="C21" s="7"/>
      <c r="D21" s="3"/>
      <c r="F21" s="2"/>
      <c r="R21" s="3"/>
    </row>
    <row r="22" spans="1:23" x14ac:dyDescent="0.25">
      <c r="A22" s="7"/>
      <c r="B22" s="7"/>
      <c r="C22" s="7"/>
      <c r="D22" s="3"/>
      <c r="F22" s="2"/>
      <c r="R22" s="3"/>
    </row>
    <row r="23" spans="1:23" x14ac:dyDescent="0.25">
      <c r="A23" s="7"/>
      <c r="B23" s="7"/>
      <c r="C23" s="7"/>
      <c r="D23" s="3"/>
      <c r="F23" s="2"/>
      <c r="R23" s="3"/>
    </row>
    <row r="24" spans="1:23" x14ac:dyDescent="0.25">
      <c r="A24" s="7"/>
      <c r="B24" s="7"/>
      <c r="C24" s="7"/>
      <c r="D24" s="3"/>
      <c r="F24" s="2"/>
      <c r="R24" s="3"/>
    </row>
    <row r="25" spans="1:23" x14ac:dyDescent="0.25">
      <c r="F25" s="2"/>
    </row>
    <row r="26" spans="1:23" x14ac:dyDescent="0.25">
      <c r="F26" s="2"/>
    </row>
    <row r="27" spans="1:23" x14ac:dyDescent="0.25">
      <c r="F27" s="2"/>
    </row>
    <row r="28" spans="1:23" x14ac:dyDescent="0.25">
      <c r="F28" s="2"/>
    </row>
    <row r="29" spans="1:23" x14ac:dyDescent="0.25">
      <c r="F29" s="2"/>
    </row>
    <row r="30" spans="1:23" x14ac:dyDescent="0.25">
      <c r="F30" s="2"/>
    </row>
    <row r="31" spans="1:23" x14ac:dyDescent="0.25">
      <c r="F31" s="2"/>
    </row>
    <row r="32" spans="1:23" x14ac:dyDescent="0.25">
      <c r="F32" s="2"/>
    </row>
    <row r="33" spans="6:6" x14ac:dyDescent="0.25">
      <c r="F33" s="2"/>
    </row>
    <row r="34" spans="6:6" x14ac:dyDescent="0.25">
      <c r="F34" s="2"/>
    </row>
    <row r="35" spans="6:6" x14ac:dyDescent="0.25">
      <c r="F35" s="2"/>
    </row>
    <row r="36" spans="6:6" x14ac:dyDescent="0.25">
      <c r="F36" s="2"/>
    </row>
    <row r="37" spans="6:6" x14ac:dyDescent="0.25">
      <c r="F37" s="2"/>
    </row>
    <row r="38" spans="6:6" x14ac:dyDescent="0.25">
      <c r="F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REACHES</vt:lpstr>
      <vt:lpstr>SOURCES</vt:lpstr>
      <vt:lpstr>WQ_DATA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DAVID TORRES PIRAQUIVE</dc:creator>
  <cp:lastModifiedBy>SERGIO DAVID TORRES PIRAQUIVE</cp:lastModifiedBy>
  <dcterms:created xsi:type="dcterms:W3CDTF">2025-11-07T16:58:47Z</dcterms:created>
  <dcterms:modified xsi:type="dcterms:W3CDTF">2026-01-15T23:19:26Z</dcterms:modified>
</cp:coreProperties>
</file>