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yecto_UB_2025\Modelo_Q2K_python\data\templates\Chicamocha\"/>
    </mc:Choice>
  </mc:AlternateContent>
  <xr:revisionPtr revIDLastSave="0" documentId="13_ncr:1_{6A4361F5-2BBC-457C-A6C3-8199B9C212AA}" xr6:coauthVersionLast="47" xr6:coauthVersionMax="47" xr10:uidLastSave="{00000000-0000-0000-0000-000000000000}"/>
  <bookViews>
    <workbookView xWindow="-28920" yWindow="-120" windowWidth="29040" windowHeight="15720" xr2:uid="{7CAB968E-70C7-47AF-B60B-C3245F72BAF9}"/>
  </bookViews>
  <sheets>
    <sheet name="REACHES" sheetId="1" r:id="rId1"/>
    <sheet name="SOURCES" sheetId="2" r:id="rId2"/>
    <sheet name="WQ_DAT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2" l="1"/>
  <c r="F26" i="2"/>
  <c r="V42" i="2"/>
  <c r="G42" i="2"/>
  <c r="N41" i="2"/>
  <c r="N35" i="2"/>
  <c r="O26" i="2"/>
  <c r="O25" i="2"/>
  <c r="N23" i="2"/>
  <c r="T22" i="2"/>
  <c r="R22" i="2"/>
  <c r="T19" i="2"/>
  <c r="R19" i="2"/>
  <c r="N17" i="2"/>
  <c r="Q15" i="2"/>
  <c r="U14" i="2"/>
  <c r="Q14" i="2"/>
  <c r="M14" i="2"/>
  <c r="O10" i="2"/>
  <c r="I4" i="2"/>
</calcChain>
</file>

<file path=xl/sharedStrings.xml><?xml version="1.0" encoding="utf-8"?>
<sst xmlns="http://schemas.openxmlformats.org/spreadsheetml/2006/main" count="638" uniqueCount="205">
  <si>
    <t>NOMBRE_TRAMO</t>
  </si>
  <si>
    <t>TRAMO_1</t>
  </si>
  <si>
    <t>TRAMO_2</t>
  </si>
  <si>
    <t>FUENTE_PRINCIPAL</t>
  </si>
  <si>
    <t>X</t>
  </si>
  <si>
    <t>Y</t>
  </si>
  <si>
    <t>X_ARRIBA</t>
  </si>
  <si>
    <t>Y_ARRIBA</t>
  </si>
  <si>
    <t>X_ABAJO</t>
  </si>
  <si>
    <t>Y_ABAJO</t>
  </si>
  <si>
    <t>ALPHA_1</t>
  </si>
  <si>
    <t>BETA_1</t>
  </si>
  <si>
    <t>ALPHA_2</t>
  </si>
  <si>
    <t>BETA_2</t>
  </si>
  <si>
    <t>ELEV_ARRIBA</t>
  </si>
  <si>
    <t>ELEV_ABAJO</t>
  </si>
  <si>
    <t>NOMBRE_VERTIMIENTO</t>
  </si>
  <si>
    <t>X_QUAL2K</t>
  </si>
  <si>
    <t>CAUDAL</t>
  </si>
  <si>
    <t>CONDUCTIVIDAD</t>
  </si>
  <si>
    <t>SST</t>
  </si>
  <si>
    <t>OXIGENO_DISUELTO</t>
  </si>
  <si>
    <t>DBO5</t>
  </si>
  <si>
    <t>NTK</t>
  </si>
  <si>
    <t>NITROGENO_AMONIACAL</t>
  </si>
  <si>
    <t>NITRITOS</t>
  </si>
  <si>
    <t>NITRATOS</t>
  </si>
  <si>
    <t>FOSFORO_TOTAL</t>
  </si>
  <si>
    <t>ORTOFOSFATOS</t>
  </si>
  <si>
    <t>COLIFORMES_TOTALES</t>
  </si>
  <si>
    <t>COLIFORMES_TERMOTOLERANTES</t>
  </si>
  <si>
    <t>E_COLI</t>
  </si>
  <si>
    <t>ALCALINIDAD</t>
  </si>
  <si>
    <t>pH</t>
  </si>
  <si>
    <t>RIO CHICAMOCHA</t>
  </si>
  <si>
    <t>NOMBRE_ESTACIONES</t>
  </si>
  <si>
    <t>X_QUAL2K_ARRIBA</t>
  </si>
  <si>
    <t>X_QUAL2K_ABAJO</t>
  </si>
  <si>
    <t>TEMPERATURA</t>
  </si>
  <si>
    <t>TIPO</t>
  </si>
  <si>
    <t>VERTIMIENTO</t>
  </si>
  <si>
    <t>CAPTACION</t>
  </si>
  <si>
    <t>EST_ARRIBA</t>
  </si>
  <si>
    <t>EST_ABAJO</t>
  </si>
  <si>
    <t>SOMBRA_[-]</t>
  </si>
  <si>
    <t>TEMPERATURA_[C]</t>
  </si>
  <si>
    <t>TEMPERATURA_ROCIO_[C]</t>
  </si>
  <si>
    <t>VELOCIDAD_DEL_VIENTO_[MS]</t>
  </si>
  <si>
    <t>COBERTURA_NUBES_[-]</t>
  </si>
  <si>
    <t>VEOLIA AGUAS DE TUNJA S.A. E.S.P.</t>
  </si>
  <si>
    <t>BY-PASS-VEOLIA AGUAS DE TUNJA S.A. E.S.P.</t>
  </si>
  <si>
    <t>URBASER TUNJA S.A E.S.P</t>
  </si>
  <si>
    <t>ESTABLECIMIENTO PENITENCIARIO DE ALTA Y MEDIA SEGURIDAD DE COMBITA (ALTA)</t>
  </si>
  <si>
    <t>DIACO S.A.</t>
  </si>
  <si>
    <t>GLORIA COLOMBIA</t>
  </si>
  <si>
    <t>LACTALIS COLOMBIA LTDA</t>
  </si>
  <si>
    <t>PROMOTORA COMERCIAL Y TURISTICA LTDA  PROCOTUR LTDA</t>
  </si>
  <si>
    <t>COMPAÑÍA ELECTRICA SOCHAGOTA S,A. E.S.P.</t>
  </si>
  <si>
    <t>GESTIÓN ENERGETICA S.A E.S.P</t>
  </si>
  <si>
    <t xml:space="preserve">SAUZALES DE TORCOROMA </t>
  </si>
  <si>
    <t>RED VITAL PAIPA S.A. ESP</t>
  </si>
  <si>
    <t xml:space="preserve">SOLSA PROYECTOS Y CONSTRUCCIONES S.A.S  </t>
  </si>
  <si>
    <t>MUNICIPIO DE NOBSA</t>
  </si>
  <si>
    <t>HOLCIM COLOMBIA S.A.</t>
  </si>
  <si>
    <t xml:space="preserve">MUNICIPIO DE NOBSA </t>
  </si>
  <si>
    <t>SANOHA LTDA MINERA MEDIO AMBIENTE Y FORESTAL
Actualizar por ( SASNOHA MINERIA, MEDIO AMBIENTE Y FORESTAL S.A.S EN REORGANIZACIÓN - SANOHA S.A.S</t>
  </si>
  <si>
    <t>COMPAÑIA DE SERVICIOS PUBLICOS DE SOGAMOSO S.A. E.S.P</t>
  </si>
  <si>
    <t>MUNICIPIO DE NOBSA (Nazaret)</t>
  </si>
  <si>
    <t>ZONA FRANCA PERMANENTE ESPECIAL ACERIAS PAZ DEL RIO S.A.</t>
  </si>
  <si>
    <t>SÁNCHEZ RICAURTE JOSE NORBERTO</t>
  </si>
  <si>
    <t>REYES PERICO HECTOR PLUTARCO</t>
  </si>
  <si>
    <t>INDUSTRIAL DE MINERALES LTDA</t>
  </si>
  <si>
    <t>VARGAS JOSE ANTONIO</t>
  </si>
  <si>
    <t xml:space="preserve">JOSE ARISTIDES CAMARGO </t>
  </si>
  <si>
    <t>ALFONSO DE CASTAÑEDA PAULINA</t>
  </si>
  <si>
    <t>MUNICIPIO DE CORRALES</t>
  </si>
  <si>
    <t>LEÓN ROJAS DORA CONSTANZA</t>
  </si>
  <si>
    <t xml:space="preserve">ACERIAS PAZ DEL RIO </t>
  </si>
  <si>
    <t>MUNICIPIO DE PAZ DE RIO</t>
  </si>
  <si>
    <t>OLGA LUCIA  GALVAN  MIRANDA</t>
  </si>
  <si>
    <t>INVERSIONES EL DORADO S.A.S</t>
  </si>
  <si>
    <t>CARBONES Y COQUES DE LA COLINA SAS</t>
  </si>
  <si>
    <t>JORGE ENRIQUE NEIRA GAONA</t>
  </si>
  <si>
    <t>CARLOS GUSTAVO PUERTO SALAMANCA</t>
  </si>
  <si>
    <t>YESID AVILA TORRES</t>
  </si>
  <si>
    <t>SOCIEDAD INVERSIONES EL DORADO S.A.</t>
  </si>
  <si>
    <t>PEDRO ALBERTO AGUDELO GUEVARA</t>
  </si>
  <si>
    <t>INGENÍERIA DE VÍAS S.A.S.</t>
  </si>
  <si>
    <t>TANQUESCOL S.A.S.</t>
  </si>
  <si>
    <t>FABIO MONTAÑA RODRIGUEZ</t>
  </si>
  <si>
    <t>INVERSIONES LADRILLOS MAGUNCIA</t>
  </si>
  <si>
    <t>LUIS ALFONSO LIZARAZO MEDINA</t>
  </si>
  <si>
    <t>ANA VILLAMIZAR DE MARIÑO</t>
  </si>
  <si>
    <t>ASOCIACION DE USUARIOS ACUEDUCTO PEÑA NEGRA SUESCUN</t>
  </si>
  <si>
    <t>GRUPO LUZ Y FUERZA COLOMBIA S.A.S.</t>
  </si>
  <si>
    <t>BAVARIA S.A CERVECERIA DE BOYACA</t>
  </si>
  <si>
    <t>RED VITAL PAIPA S.A. E.S.P</t>
  </si>
  <si>
    <t>JOSE ALIRIO FUENTES MARTINEZ</t>
  </si>
  <si>
    <t>CLUB MILITAR SEDE CAMPESTRE SOCHAGOTA</t>
  </si>
  <si>
    <t>CAMPO ELIAS BAEZ TINJACA</t>
  </si>
  <si>
    <t>BG LABS SAS</t>
  </si>
  <si>
    <t>MARIA CLAUDIA JIMENEZ REYES - MARIA OLGA JIMENEZ REYES - HERNANDO JOSE JIMENEZ REYES</t>
  </si>
  <si>
    <t>HERNAN CASTRO ALARCON</t>
  </si>
  <si>
    <t>GLORIA CECILIA MARIÑO DE GONZALEZ</t>
  </si>
  <si>
    <t>KAYROS FLOWERS SAS</t>
  </si>
  <si>
    <t>OMAR ALDOLFO FERNANDEZ FERNANDEZ</t>
  </si>
  <si>
    <t>COMERCIALIZADORA INTERNACIONAL MILPA SOCIEDAD ANONIMA C.I. MILPA S.A</t>
  </si>
  <si>
    <t>LUIS ALEJANDRO FERNANDEZ ALVAREZ</t>
  </si>
  <si>
    <t>SILVINO SALAS PINEDA</t>
  </si>
  <si>
    <t>ACERIAS PAZ  DE RIO</t>
  </si>
  <si>
    <t>RITO SALAMANCA TURGA</t>
  </si>
  <si>
    <t>MYRIAM GUIO DE SAENZ</t>
  </si>
  <si>
    <t>SEGUNDO ROQUE ACENCIO TORRES</t>
  </si>
  <si>
    <t>DORIS LEMUS ALBARACIN</t>
  </si>
  <si>
    <t>COLOMBIAN COAL S.A</t>
  </si>
  <si>
    <t>CAMILO MONTAÑA PRADILLA</t>
  </si>
  <si>
    <t>MARIA DEL CARMEN RIVERA TORRES</t>
  </si>
  <si>
    <t>EMPRESA DE ENERGIA DE BOYACA S.A. E.S.P.</t>
  </si>
  <si>
    <t>JOSE MISAEL GARCIA CASTRO</t>
  </si>
  <si>
    <t>FLORIBERTO ALARCON GUTIERREZ</t>
  </si>
  <si>
    <t>JORGE RAMIRO CORREDOR GONZALEZ</t>
  </si>
  <si>
    <t>CLAUDIA LUCIA VARGAS MARIÑO - HERMINI DEL CARMEN MARIÑO DE VARGAS</t>
  </si>
  <si>
    <t>JOSE NORBERTO SANCHEZ RICAURTE</t>
  </si>
  <si>
    <t>JULIO ELIECER FAJARDO RINCON</t>
  </si>
  <si>
    <t>DORA CONSTANZA LEÓN ROJAS</t>
  </si>
  <si>
    <t>TRAMO_3</t>
  </si>
  <si>
    <t>TRAMO_4</t>
  </si>
  <si>
    <t>TRAMO_5</t>
  </si>
  <si>
    <t>CABECERA</t>
  </si>
  <si>
    <t>ESTABLECIMIENTO PENITENCIARIO DE ALTA Y MEDIA SEGURIDAD DE COMBITA (MEDIANA)</t>
  </si>
  <si>
    <t>LUIS ELADIO VARGAS CASTELLANO</t>
  </si>
  <si>
    <t>LA REFORMA</t>
  </si>
  <si>
    <t xml:space="preserve">LA REFORMA </t>
  </si>
  <si>
    <t>LA SIBERIA</t>
  </si>
  <si>
    <t>SAN RAFAEL</t>
  </si>
  <si>
    <t>PUENTE CHAMEZA</t>
  </si>
  <si>
    <t xml:space="preserve">PUENTE CHAMEZA </t>
  </si>
  <si>
    <t xml:space="preserve">PAZ DE RIO </t>
  </si>
  <si>
    <t>TRAMO_6</t>
  </si>
  <si>
    <t xml:space="preserve">CAPITANEJO </t>
  </si>
  <si>
    <t>TRAMO_7</t>
  </si>
  <si>
    <t xml:space="preserve">FINAL CUENCA MEDIA </t>
  </si>
  <si>
    <t>JUAN CARLOS GALLO</t>
  </si>
  <si>
    <t>MARIA CARMEN ROSA HERNANDEZ</t>
  </si>
  <si>
    <t/>
  </si>
  <si>
    <t>DESCARGA SOCHAGOTA</t>
  </si>
  <si>
    <t>MUNICIPIO DE TIBASOSA CHORRITO</t>
  </si>
  <si>
    <t>USOCHICAMOCHA UNIDAD HOLANDA</t>
  </si>
  <si>
    <t>USOCHICAMOCHA UNIDAD SURBA</t>
  </si>
  <si>
    <t>USOCHICAMOCHA UNIDAD PANTANO</t>
  </si>
  <si>
    <t>USOCHICAMOCHA UNIDAD AYALAS</t>
  </si>
  <si>
    <t>USOCHICAMOCHA UNIDAD DUITAMA</t>
  </si>
  <si>
    <t>USOCHICAMOCHA UNIDAD CUCHE</t>
  </si>
  <si>
    <t>USOCHICAMOCHA UNIDAD LAS VUELTAS</t>
  </si>
  <si>
    <t>USOCHICAMOCHA UNIDAD SAN RAFAEL</t>
  </si>
  <si>
    <t>USOCHICAMOCHA UNIDAD TIBASOSA</t>
  </si>
  <si>
    <t>USOCHICAMOCHA UNIDAD MINISTERIO</t>
  </si>
  <si>
    <t>USOCHICAMOCHA UNIDAD MONQUIRA</t>
  </si>
  <si>
    <t>GESTIÓN ENERGETICA S.A E.S.P-GENSA C1</t>
  </si>
  <si>
    <t>GESTIÓN ENERGETICA S.A E.S.P-GENSA C2</t>
  </si>
  <si>
    <t>GESTIÓN ENERGETICA S.A E.S.P-GENSA C3</t>
  </si>
  <si>
    <t>GESTIÓN ENERGETICA S.A E.S.P-GENSA C4</t>
  </si>
  <si>
    <t>GESTIÓN ENERGETICA S.A E.S.P-GENSA C5</t>
  </si>
  <si>
    <t>GESTIÓN ENERGETICA S.A E.S.P-GENSA C6</t>
  </si>
  <si>
    <t>GESTIÓN ENERGETICA S.A E.S.P-GENSA C7</t>
  </si>
  <si>
    <t xml:space="preserve">R. LA VEGA </t>
  </si>
  <si>
    <t>Q. HONDA</t>
  </si>
  <si>
    <t>R. PIEDRAS</t>
  </si>
  <si>
    <t>R. TUTA</t>
  </si>
  <si>
    <t>R. SOTAQUIRA</t>
  </si>
  <si>
    <t>R. SURBA</t>
  </si>
  <si>
    <t>R. CHITICUY</t>
  </si>
  <si>
    <t>R. CHIQUITO</t>
  </si>
  <si>
    <t>R. MONGUI</t>
  </si>
  <si>
    <t>R. GAMEZA</t>
  </si>
  <si>
    <t>R. SOAPAGA</t>
  </si>
  <si>
    <t>R.COMEZA</t>
  </si>
  <si>
    <t>R. SUSACON</t>
  </si>
  <si>
    <t>R. NEVADO</t>
  </si>
  <si>
    <t>AGUAS ARRIBA TUNJA (RUNTA)</t>
  </si>
  <si>
    <t>RÍO JORDAN (QUINTAS)</t>
  </si>
  <si>
    <t>ARBOLEDA</t>
  </si>
  <si>
    <t>OICATA (EST AUTOMATICA)</t>
  </si>
  <si>
    <t>CÓMBITA</t>
  </si>
  <si>
    <t>PLAYA ARRIBA</t>
  </si>
  <si>
    <t>PLAYA ABAJO</t>
  </si>
  <si>
    <t>TUTA</t>
  </si>
  <si>
    <t>BOSIGAS</t>
  </si>
  <si>
    <t>ARRIBA TERMOPAIPA</t>
  </si>
  <si>
    <t>LAGUNA TERMOPAIPA</t>
  </si>
  <si>
    <t>EL PARAÍSO</t>
  </si>
  <si>
    <t>PUNTA LARGA</t>
  </si>
  <si>
    <t>LOS CÁMBULOS</t>
  </si>
  <si>
    <t>PTAR CHAMEZA (2016-2024)</t>
  </si>
  <si>
    <t>VADO CASTRO</t>
  </si>
  <si>
    <t>LA TURCA</t>
  </si>
  <si>
    <t xml:space="preserve">CORRALES </t>
  </si>
  <si>
    <t>BETEITIVA</t>
  </si>
  <si>
    <t xml:space="preserve">PAZ DEL RIO </t>
  </si>
  <si>
    <t>SOCHA</t>
  </si>
  <si>
    <t>AGUAS ARRIBA SUSACON</t>
  </si>
  <si>
    <t>PUENTE PINZÓN</t>
  </si>
  <si>
    <t>PUENTE PALMERA</t>
  </si>
  <si>
    <t>ACERIAS PAZ DEL RIO S.A. (HIERRO Y CALIZA) TÓPAGA, PAZ DE RÍO, TASCO, CORRALES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</si>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</sst>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sz val="11"/>
      <name val="Arial Narrow"/>
      <family val="2"/>
    </font>
    <font>
      <sz val="11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2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2" xfId="1" xr:uid="{1E448513-AECF-4DF6-9944-618EDAC9F2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5B90-F6BE-451C-A024-0FD774F3F607}">
  <sheetPr codeName="Hoja1"/>
  <dimension ref="A1:U8"/>
  <sheetViews>
    <sheetView tabSelected="1" workbookViewId="0">
      <selection activeCell="G15" sqref="G15"/>
    </sheetView>
  </sheetViews>
  <sheetFormatPr baseColWidth="10" defaultRowHeight="13.8" x14ac:dyDescent="0.25"/>
  <cols>
    <col min="1" max="1" width="15" style="19" bestFit="1" customWidth="1"/>
    <col min="2" max="2" width="16.44140625" style="19" bestFit="1" customWidth="1"/>
    <col min="3" max="3" width="19.88671875" style="19" bestFit="1" customWidth="1"/>
    <col min="4" max="4" width="17.109375" style="19" bestFit="1" customWidth="1"/>
    <col min="5" max="5" width="11.6640625" style="19" bestFit="1" customWidth="1"/>
    <col min="6" max="8" width="11.5546875" style="19"/>
    <col min="9" max="10" width="16.21875" style="19" bestFit="1" customWidth="1"/>
    <col min="11" max="12" width="14" style="19" customWidth="1"/>
    <col min="13" max="16" width="11.5546875" style="19"/>
    <col min="17" max="17" width="10.6640625" style="19" bestFit="1" customWidth="1"/>
    <col min="18" max="18" width="16.21875" style="19" bestFit="1" customWidth="1"/>
    <col min="19" max="19" width="22.5546875" style="19" bestFit="1" customWidth="1"/>
    <col min="20" max="20" width="25.88671875" style="19" bestFit="1" customWidth="1"/>
    <col min="21" max="21" width="20.21875" style="19" bestFit="1" customWidth="1"/>
    <col min="22" max="16384" width="11.5546875" style="19"/>
  </cols>
  <sheetData>
    <row r="1" spans="1:21" x14ac:dyDescent="0.25">
      <c r="A1" s="19" t="s">
        <v>0</v>
      </c>
      <c r="B1" s="19" t="s">
        <v>42</v>
      </c>
      <c r="C1" s="19" t="s">
        <v>43</v>
      </c>
      <c r="D1" s="19" t="s">
        <v>3</v>
      </c>
      <c r="E1" s="19" t="s">
        <v>6</v>
      </c>
      <c r="F1" s="19" t="s">
        <v>7</v>
      </c>
      <c r="G1" s="19" t="s">
        <v>8</v>
      </c>
      <c r="H1" s="19" t="s">
        <v>9</v>
      </c>
      <c r="I1" s="19" t="s">
        <v>36</v>
      </c>
      <c r="J1" s="19" t="s">
        <v>37</v>
      </c>
      <c r="K1" s="19" t="s">
        <v>14</v>
      </c>
      <c r="L1" s="19" t="s">
        <v>15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44</v>
      </c>
      <c r="R1" s="19" t="s">
        <v>45</v>
      </c>
      <c r="S1" s="19" t="s">
        <v>46</v>
      </c>
      <c r="T1" s="19" t="s">
        <v>47</v>
      </c>
      <c r="U1" s="19" t="s">
        <v>48</v>
      </c>
    </row>
    <row r="2" spans="1:21" x14ac:dyDescent="0.25">
      <c r="A2" s="19" t="s">
        <v>1</v>
      </c>
      <c r="B2" s="19" t="s">
        <v>128</v>
      </c>
      <c r="C2" s="19" t="s">
        <v>131</v>
      </c>
      <c r="D2" s="19" t="s">
        <v>34</v>
      </c>
      <c r="E2" s="19">
        <v>-73.391734499999998</v>
      </c>
      <c r="F2" s="19">
        <v>5.4772809000000002</v>
      </c>
      <c r="G2" s="19">
        <v>-73.189888999999994</v>
      </c>
      <c r="H2" s="19">
        <v>5.7488330000000003</v>
      </c>
      <c r="I2" s="19">
        <v>244.16136581916899</v>
      </c>
      <c r="J2" s="19">
        <v>188.42874</v>
      </c>
      <c r="K2" s="19">
        <v>2892</v>
      </c>
      <c r="L2" s="19">
        <v>2530</v>
      </c>
      <c r="M2" s="19">
        <v>9.5799999999999996E-2</v>
      </c>
      <c r="N2" s="19">
        <v>0.75580000000000003</v>
      </c>
      <c r="O2" s="19">
        <v>1.1036999999999999</v>
      </c>
      <c r="P2" s="19">
        <v>0.14030000000000001</v>
      </c>
      <c r="Q2" s="19">
        <v>0.5</v>
      </c>
      <c r="R2" s="19">
        <v>14.37</v>
      </c>
      <c r="S2" s="19">
        <v>16</v>
      </c>
      <c r="T2" s="19">
        <v>2.5</v>
      </c>
      <c r="U2" s="19">
        <v>0.5</v>
      </c>
    </row>
    <row r="3" spans="1:21" x14ac:dyDescent="0.25">
      <c r="A3" s="19" t="s">
        <v>2</v>
      </c>
      <c r="B3" s="19" t="s">
        <v>132</v>
      </c>
      <c r="C3" s="19" t="s">
        <v>133</v>
      </c>
      <c r="D3" s="19" t="s">
        <v>34</v>
      </c>
      <c r="E3" s="19">
        <v>-73.189888999999994</v>
      </c>
      <c r="F3" s="19">
        <v>5.7488330000000003</v>
      </c>
      <c r="G3" s="19">
        <v>-73.108722</v>
      </c>
      <c r="H3" s="19">
        <v>5.7667330000000003</v>
      </c>
      <c r="I3" s="19">
        <v>188.42874</v>
      </c>
      <c r="J3" s="19">
        <v>174.10840899999999</v>
      </c>
      <c r="K3" s="19">
        <v>2530</v>
      </c>
      <c r="L3" s="19">
        <v>2492</v>
      </c>
      <c r="M3" s="19">
        <v>0.2014</v>
      </c>
      <c r="N3" s="19">
        <v>0.49830000000000002</v>
      </c>
      <c r="O3" s="19">
        <v>0.49320000000000003</v>
      </c>
      <c r="P3" s="19">
        <v>0.44750000000000001</v>
      </c>
      <c r="Q3" s="19">
        <v>0.5</v>
      </c>
      <c r="R3" s="19">
        <v>14.39</v>
      </c>
      <c r="S3" s="19">
        <v>14.2</v>
      </c>
      <c r="T3" s="19">
        <v>3.5</v>
      </c>
      <c r="U3" s="19">
        <v>0.5</v>
      </c>
    </row>
    <row r="4" spans="1:21" x14ac:dyDescent="0.25">
      <c r="A4" s="19" t="s">
        <v>125</v>
      </c>
      <c r="B4" s="19" t="s">
        <v>133</v>
      </c>
      <c r="C4" s="19" t="s">
        <v>134</v>
      </c>
      <c r="D4" s="19" t="s">
        <v>34</v>
      </c>
      <c r="E4" s="19">
        <v>-73.108722</v>
      </c>
      <c r="F4" s="19">
        <v>5.7667330000000003</v>
      </c>
      <c r="G4" s="19">
        <v>-73.013806000000002</v>
      </c>
      <c r="H4" s="19">
        <v>5.8076109999999996</v>
      </c>
      <c r="I4" s="19">
        <v>174.10840899999999</v>
      </c>
      <c r="J4" s="19">
        <v>156.42242299999998</v>
      </c>
      <c r="K4" s="19">
        <v>2492</v>
      </c>
      <c r="L4" s="19">
        <v>2488</v>
      </c>
      <c r="M4" s="19">
        <v>9.69E-2</v>
      </c>
      <c r="N4" s="19">
        <v>0.62939999999999996</v>
      </c>
      <c r="O4" s="19">
        <v>0.78920000000000001</v>
      </c>
      <c r="P4" s="19">
        <v>0.28239999999999998</v>
      </c>
      <c r="Q4" s="19">
        <v>0.5</v>
      </c>
      <c r="R4" s="19">
        <v>22</v>
      </c>
      <c r="S4" s="19">
        <v>17</v>
      </c>
      <c r="T4" s="19">
        <v>4.5</v>
      </c>
      <c r="U4" s="19">
        <v>0.5</v>
      </c>
    </row>
    <row r="5" spans="1:21" x14ac:dyDescent="0.25">
      <c r="A5" s="19" t="s">
        <v>126</v>
      </c>
      <c r="B5" s="19" t="s">
        <v>134</v>
      </c>
      <c r="C5" s="19" t="s">
        <v>135</v>
      </c>
      <c r="D5" s="19" t="s">
        <v>34</v>
      </c>
      <c r="E5" s="19">
        <v>-73.013806000000002</v>
      </c>
      <c r="F5" s="19">
        <v>5.8076109999999996</v>
      </c>
      <c r="G5" s="19">
        <v>-72.906527999999994</v>
      </c>
      <c r="H5" s="19">
        <v>5.7598890000000003</v>
      </c>
      <c r="I5" s="19">
        <v>156.42242299999998</v>
      </c>
      <c r="J5" s="19">
        <v>135.63155599999999</v>
      </c>
      <c r="K5" s="19">
        <v>2488</v>
      </c>
      <c r="L5" s="19">
        <v>2478</v>
      </c>
      <c r="M5" s="19">
        <v>0.1517</v>
      </c>
      <c r="N5" s="19">
        <v>0.52859999999999996</v>
      </c>
      <c r="O5" s="19">
        <v>0.41399999999999998</v>
      </c>
      <c r="P5" s="19">
        <v>0.43719999999999998</v>
      </c>
      <c r="Q5" s="19">
        <v>0.5</v>
      </c>
      <c r="R5" s="19">
        <v>25</v>
      </c>
      <c r="S5" s="19">
        <v>19</v>
      </c>
      <c r="T5" s="19">
        <v>5.5</v>
      </c>
      <c r="U5" s="19">
        <v>0.5</v>
      </c>
    </row>
    <row r="6" spans="1:21" x14ac:dyDescent="0.25">
      <c r="A6" s="19" t="s">
        <v>127</v>
      </c>
      <c r="B6" s="19" t="s">
        <v>136</v>
      </c>
      <c r="C6" s="19" t="s">
        <v>137</v>
      </c>
      <c r="D6" s="19" t="s">
        <v>34</v>
      </c>
      <c r="E6" s="19">
        <v>-72.906527999999994</v>
      </c>
      <c r="F6" s="19">
        <v>5.7598890000000003</v>
      </c>
      <c r="G6" s="19">
        <v>-72.744522000000003</v>
      </c>
      <c r="H6" s="19">
        <v>5.9877469999999997</v>
      </c>
      <c r="I6" s="19">
        <v>135.63155599999999</v>
      </c>
      <c r="J6" s="19">
        <v>94.527877999999987</v>
      </c>
      <c r="K6" s="19">
        <v>2478</v>
      </c>
      <c r="L6" s="19">
        <v>2214</v>
      </c>
      <c r="M6" s="19">
        <v>0.2535</v>
      </c>
      <c r="N6" s="19">
        <v>0.52569999999999995</v>
      </c>
      <c r="O6" s="19">
        <v>0.29060000000000002</v>
      </c>
      <c r="P6" s="19">
        <v>0.28110000000000002</v>
      </c>
      <c r="Q6" s="19">
        <v>0.5</v>
      </c>
      <c r="R6" s="19">
        <v>25</v>
      </c>
      <c r="S6" s="19">
        <v>19</v>
      </c>
      <c r="T6" s="19">
        <v>6.5</v>
      </c>
      <c r="U6" s="19">
        <v>0.5</v>
      </c>
    </row>
    <row r="7" spans="1:21" x14ac:dyDescent="0.25">
      <c r="A7" s="19" t="s">
        <v>138</v>
      </c>
      <c r="B7" s="19" t="s">
        <v>137</v>
      </c>
      <c r="C7" s="19" t="s">
        <v>139</v>
      </c>
      <c r="D7" s="19" t="s">
        <v>34</v>
      </c>
      <c r="E7" s="19">
        <v>-72.744522000000003</v>
      </c>
      <c r="F7" s="19">
        <v>5.9877469999999997</v>
      </c>
      <c r="G7" s="19">
        <v>-72.692761000000004</v>
      </c>
      <c r="H7" s="19">
        <v>6.5124029999999999</v>
      </c>
      <c r="I7" s="19">
        <v>94.527877999999987</v>
      </c>
      <c r="J7" s="19">
        <v>22.662576999999999</v>
      </c>
      <c r="K7" s="19">
        <v>2214</v>
      </c>
      <c r="L7" s="19">
        <v>1094</v>
      </c>
      <c r="M7" s="19">
        <v>0.20749999999999999</v>
      </c>
      <c r="N7" s="19">
        <v>0.51790000000000003</v>
      </c>
      <c r="O7" s="19">
        <v>0.59450000000000003</v>
      </c>
      <c r="P7" s="19">
        <v>0.1661</v>
      </c>
      <c r="Q7" s="19">
        <v>0.5</v>
      </c>
      <c r="R7" s="19">
        <v>28</v>
      </c>
      <c r="S7" s="19">
        <v>22</v>
      </c>
      <c r="T7" s="19">
        <v>6.5</v>
      </c>
      <c r="U7" s="19">
        <v>0.5</v>
      </c>
    </row>
    <row r="8" spans="1:21" x14ac:dyDescent="0.25">
      <c r="A8" s="19" t="s">
        <v>140</v>
      </c>
      <c r="B8" s="19" t="s">
        <v>139</v>
      </c>
      <c r="C8" s="19" t="s">
        <v>141</v>
      </c>
      <c r="D8" s="19" t="s">
        <v>34</v>
      </c>
      <c r="E8" s="19">
        <v>-72.692761000000004</v>
      </c>
      <c r="F8" s="19">
        <v>6.5124029999999999</v>
      </c>
      <c r="G8" s="19">
        <v>-72.811166999999998</v>
      </c>
      <c r="H8" s="19">
        <v>6.5424530000000001</v>
      </c>
      <c r="I8" s="19">
        <v>22.662576999999999</v>
      </c>
      <c r="J8" s="19">
        <v>0</v>
      </c>
      <c r="K8" s="19">
        <v>1094</v>
      </c>
      <c r="L8" s="19">
        <v>867</v>
      </c>
      <c r="M8" s="19">
        <v>0.20749999999999999</v>
      </c>
      <c r="N8" s="19">
        <v>0.51790000000000003</v>
      </c>
      <c r="O8" s="19">
        <v>0.59450000000000003</v>
      </c>
      <c r="P8" s="19">
        <v>0.1661</v>
      </c>
      <c r="Q8" s="19">
        <v>0.5</v>
      </c>
      <c r="R8" s="19">
        <v>28</v>
      </c>
      <c r="S8" s="19">
        <v>22</v>
      </c>
      <c r="T8" s="19">
        <v>6.5</v>
      </c>
      <c r="U8" s="19">
        <v>0.5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CAE8-8F8D-4B2D-9878-1F4D056EC13E}">
  <sheetPr codeName="Hoja2"/>
  <dimension ref="A1:V135"/>
  <sheetViews>
    <sheetView zoomScaleNormal="100" workbookViewId="0">
      <pane xSplit="1" ySplit="1" topLeftCell="B105" activePane="bottomRight" state="frozen"/>
      <selection pane="topRight" activeCell="B1" sqref="B1"/>
      <selection pane="bottomLeft" activeCell="A2" sqref="A2"/>
      <selection pane="bottomRight" activeCell="C135" sqref="C135"/>
    </sheetView>
  </sheetViews>
  <sheetFormatPr baseColWidth="10" defaultRowHeight="13.8" x14ac:dyDescent="0.3"/>
  <cols>
    <col min="1" max="1" width="70.33203125" style="1" customWidth="1"/>
    <col min="2" max="2" width="21.109375" style="1" customWidth="1"/>
    <col min="3" max="3" width="32.88671875" style="1" customWidth="1"/>
    <col min="4" max="4" width="15" style="1" customWidth="1"/>
    <col min="5" max="5" width="11.109375" style="1" customWidth="1"/>
    <col min="6" max="6" width="13.33203125" style="1" customWidth="1"/>
    <col min="7" max="7" width="13.33203125" style="1" bestFit="1" customWidth="1"/>
    <col min="8" max="8" width="15.33203125" style="1" bestFit="1" customWidth="1"/>
    <col min="9" max="9" width="11.6640625" style="1" customWidth="1"/>
    <col min="10" max="10" width="18.33203125" style="1" bestFit="1" customWidth="1"/>
    <col min="11" max="11" width="5.77734375" style="1" bestFit="1" customWidth="1"/>
    <col min="12" max="12" width="6.109375" style="1" customWidth="1"/>
    <col min="13" max="13" width="22.77734375" style="1" bestFit="1" customWidth="1"/>
    <col min="14" max="14" width="9" style="1" bestFit="1" customWidth="1"/>
    <col min="15" max="15" width="9.5546875" style="1" bestFit="1" customWidth="1"/>
    <col min="16" max="16" width="15.33203125" style="1" bestFit="1" customWidth="1"/>
    <col min="17" max="17" width="14.6640625" style="1" bestFit="1" customWidth="1"/>
    <col min="18" max="18" width="20.109375" style="1" bestFit="1" customWidth="1"/>
    <col min="19" max="19" width="29.77734375" style="1" bestFit="1" customWidth="1"/>
    <col min="20" max="20" width="9.88671875" style="1" bestFit="1" customWidth="1"/>
    <col min="21" max="21" width="12.21875" style="1" bestFit="1" customWidth="1"/>
    <col min="22" max="22" width="8.21875" style="1" customWidth="1"/>
    <col min="23" max="16384" width="11.5546875" style="1"/>
  </cols>
  <sheetData>
    <row r="1" spans="1:22" x14ac:dyDescent="0.3">
      <c r="A1" s="1" t="s">
        <v>16</v>
      </c>
      <c r="B1" s="1" t="s">
        <v>39</v>
      </c>
      <c r="C1" s="1" t="s">
        <v>4</v>
      </c>
      <c r="D1" s="1" t="s">
        <v>5</v>
      </c>
      <c r="E1" s="1" t="s">
        <v>17</v>
      </c>
      <c r="F1" s="1" t="s">
        <v>18</v>
      </c>
      <c r="G1" s="1" t="s">
        <v>38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</row>
    <row r="2" spans="1:22" x14ac:dyDescent="0.25">
      <c r="A2" s="2" t="s">
        <v>49</v>
      </c>
      <c r="B2" s="1" t="s">
        <v>40</v>
      </c>
      <c r="C2" s="3">
        <v>-73.32449722222222</v>
      </c>
      <c r="D2" s="3">
        <v>5.5812499999999998</v>
      </c>
      <c r="E2" s="4">
        <v>228.2675317943187</v>
      </c>
      <c r="F2" s="5">
        <v>0.19030000000000002</v>
      </c>
      <c r="G2" s="4">
        <v>20.150000000000002</v>
      </c>
      <c r="H2" s="4">
        <v>874.75</v>
      </c>
      <c r="I2" s="4">
        <v>155.16750000000002</v>
      </c>
      <c r="J2" s="4">
        <v>4.4424999999999999</v>
      </c>
      <c r="K2" s="4">
        <v>32.75</v>
      </c>
      <c r="L2" s="4">
        <v>69.099999999999994</v>
      </c>
      <c r="M2" s="4">
        <v>44.2</v>
      </c>
      <c r="N2" s="4">
        <v>3.387</v>
      </c>
      <c r="O2" s="4">
        <v>6.9435000000000002</v>
      </c>
      <c r="P2" s="4">
        <v>16.7</v>
      </c>
      <c r="Q2" s="4">
        <v>6.2</v>
      </c>
      <c r="R2" s="4">
        <v>6.7384336976782855</v>
      </c>
      <c r="S2" s="4">
        <v>5.3454178440108935</v>
      </c>
      <c r="T2" s="4" t="s">
        <v>144</v>
      </c>
      <c r="U2" s="4">
        <v>223.6</v>
      </c>
      <c r="V2" s="4">
        <v>7.5175000000000001</v>
      </c>
    </row>
    <row r="3" spans="1:22" x14ac:dyDescent="0.25">
      <c r="A3" s="2" t="s">
        <v>50</v>
      </c>
      <c r="B3" s="1" t="s">
        <v>40</v>
      </c>
      <c r="C3" s="3">
        <v>-73.322986999999998</v>
      </c>
      <c r="D3" s="3">
        <v>5.582058</v>
      </c>
      <c r="E3" s="3">
        <v>228.07568228786272</v>
      </c>
      <c r="F3" s="3">
        <v>0.27</v>
      </c>
      <c r="G3" s="4">
        <v>20.85</v>
      </c>
      <c r="H3" s="4">
        <v>838.75</v>
      </c>
      <c r="I3" s="4">
        <v>389.05500000000001</v>
      </c>
      <c r="J3" s="4">
        <v>3.34</v>
      </c>
      <c r="K3" s="4">
        <v>263</v>
      </c>
      <c r="L3" s="4">
        <v>81.7</v>
      </c>
      <c r="M3" s="4">
        <v>58</v>
      </c>
      <c r="N3" s="4">
        <v>2.1635</v>
      </c>
      <c r="O3" s="4">
        <v>0.92733333333333334</v>
      </c>
      <c r="P3" s="4">
        <v>18.600000000000001</v>
      </c>
      <c r="Q3" s="4">
        <v>6.9</v>
      </c>
      <c r="R3" s="4">
        <v>7.6460818074756061</v>
      </c>
      <c r="S3" s="4">
        <v>5.9610281527683568</v>
      </c>
      <c r="T3" s="4" t="s">
        <v>144</v>
      </c>
      <c r="U3" s="4">
        <v>299.92500000000001</v>
      </c>
      <c r="V3" s="4">
        <v>7.5274999999999999</v>
      </c>
    </row>
    <row r="4" spans="1:22" s="7" customFormat="1" x14ac:dyDescent="0.25">
      <c r="A4" s="6" t="s">
        <v>51</v>
      </c>
      <c r="B4" s="7" t="s">
        <v>40</v>
      </c>
      <c r="C4" s="3">
        <v>-73.320955999999995</v>
      </c>
      <c r="D4" s="3">
        <v>5.5837019999999997</v>
      </c>
      <c r="E4" s="3">
        <v>227.78141923174971</v>
      </c>
      <c r="F4" s="3">
        <v>1.521E-3</v>
      </c>
      <c r="G4" s="8">
        <v>18.399999999999999</v>
      </c>
      <c r="H4" s="8">
        <v>943.48</v>
      </c>
      <c r="I4" s="8">
        <f>5.5/2</f>
        <v>2.75</v>
      </c>
      <c r="J4" s="8">
        <v>4.83</v>
      </c>
      <c r="K4" s="8">
        <v>1.8</v>
      </c>
      <c r="L4" s="8">
        <v>138</v>
      </c>
      <c r="M4" s="8">
        <v>67.3</v>
      </c>
      <c r="N4" s="8">
        <v>0.05</v>
      </c>
      <c r="O4" s="8">
        <v>0.05</v>
      </c>
      <c r="P4" s="8">
        <v>0.156</v>
      </c>
      <c r="Q4" s="8">
        <v>0.129</v>
      </c>
      <c r="R4" s="8">
        <v>4.2387735017206962</v>
      </c>
      <c r="S4" s="8" t="s">
        <v>144</v>
      </c>
      <c r="T4" s="8">
        <v>3.6908160579809155</v>
      </c>
      <c r="U4" s="8">
        <v>208</v>
      </c>
      <c r="V4" s="8">
        <v>8.9</v>
      </c>
    </row>
    <row r="5" spans="1:22" x14ac:dyDescent="0.25">
      <c r="A5" s="2" t="s">
        <v>52</v>
      </c>
      <c r="B5" s="1" t="s">
        <v>40</v>
      </c>
      <c r="C5" s="3">
        <v>-73.264833333333328</v>
      </c>
      <c r="D5" s="3">
        <v>5.6808333333333341</v>
      </c>
      <c r="E5" s="3">
        <v>209.6083473357497</v>
      </c>
      <c r="F5" s="3">
        <v>3.1019999999999997E-3</v>
      </c>
      <c r="G5" s="1">
        <v>18</v>
      </c>
      <c r="H5" s="1">
        <v>831.42</v>
      </c>
      <c r="I5" s="1">
        <v>136</v>
      </c>
      <c r="J5" s="1">
        <v>2.5099999999999998</v>
      </c>
      <c r="K5" s="1">
        <v>93.2</v>
      </c>
      <c r="L5" s="1">
        <v>51</v>
      </c>
      <c r="M5" s="1">
        <v>44.3</v>
      </c>
      <c r="N5" s="1">
        <v>1.1000000000000001</v>
      </c>
      <c r="O5" s="1">
        <v>4.4999999999999998E-2</v>
      </c>
      <c r="P5" s="1">
        <v>4.8</v>
      </c>
      <c r="Q5" s="1">
        <v>4.3</v>
      </c>
      <c r="R5" s="1">
        <v>5.6134189450345735</v>
      </c>
      <c r="S5" s="1" t="s">
        <v>144</v>
      </c>
      <c r="T5" s="1">
        <v>4.0791812460476251</v>
      </c>
      <c r="U5" s="1">
        <v>245</v>
      </c>
      <c r="V5" s="1">
        <v>8</v>
      </c>
    </row>
    <row r="6" spans="1:22" x14ac:dyDescent="0.25">
      <c r="A6" s="2" t="s">
        <v>129</v>
      </c>
      <c r="B6" s="1" t="s">
        <v>40</v>
      </c>
      <c r="C6" s="3">
        <v>-73.264833333333328</v>
      </c>
      <c r="D6" s="3">
        <v>5.6808333333333341</v>
      </c>
      <c r="E6" s="3">
        <v>209.5844828980652</v>
      </c>
      <c r="F6" s="3">
        <v>3.1019999999999997E-3</v>
      </c>
      <c r="G6" s="1">
        <v>18</v>
      </c>
      <c r="H6" s="1">
        <v>831.42</v>
      </c>
      <c r="I6" s="1">
        <v>136</v>
      </c>
      <c r="J6" s="1">
        <v>2.5099999999999998</v>
      </c>
      <c r="K6" s="1">
        <v>93.2</v>
      </c>
      <c r="L6" s="1">
        <v>51</v>
      </c>
      <c r="M6" s="1">
        <v>44.3</v>
      </c>
      <c r="N6" s="1">
        <v>1.1000000000000001</v>
      </c>
      <c r="O6" s="1">
        <v>4.4999999999999998E-2</v>
      </c>
      <c r="P6" s="1">
        <v>4.8</v>
      </c>
      <c r="Q6" s="1">
        <v>4.3</v>
      </c>
      <c r="R6" s="1">
        <v>5.6134189450345735</v>
      </c>
      <c r="S6" s="1" t="s">
        <v>144</v>
      </c>
      <c r="T6" s="1">
        <v>4.0791812460476251</v>
      </c>
      <c r="U6" s="1">
        <v>245</v>
      </c>
      <c r="V6" s="1">
        <v>8</v>
      </c>
    </row>
    <row r="7" spans="1:22" x14ac:dyDescent="0.25">
      <c r="A7" s="2" t="s">
        <v>53</v>
      </c>
      <c r="B7" s="1" t="s">
        <v>40</v>
      </c>
      <c r="C7" s="3">
        <v>-73.221444444444444</v>
      </c>
      <c r="D7" s="3">
        <v>5.7216666666666667</v>
      </c>
      <c r="E7" s="1">
        <v>195.91845421306522</v>
      </c>
      <c r="F7" s="5">
        <v>3.2000000000000003E-4</v>
      </c>
      <c r="G7" s="1">
        <v>17.600000000000001</v>
      </c>
      <c r="H7" s="1">
        <v>786.7</v>
      </c>
      <c r="I7" s="1">
        <v>47</v>
      </c>
      <c r="K7" s="1">
        <v>90</v>
      </c>
      <c r="L7" s="1">
        <v>23.561</v>
      </c>
      <c r="M7" s="1">
        <v>17.29</v>
      </c>
      <c r="N7" s="1">
        <v>8.9999999999999993E-3</v>
      </c>
      <c r="O7" s="1">
        <v>0.19</v>
      </c>
      <c r="P7" s="1">
        <v>1.7</v>
      </c>
      <c r="Q7" s="1">
        <v>0.33</v>
      </c>
      <c r="R7" s="1" t="s">
        <v>144</v>
      </c>
      <c r="S7" s="9">
        <v>5.5910646070264995</v>
      </c>
      <c r="T7" s="1" t="s">
        <v>144</v>
      </c>
      <c r="V7" s="1">
        <v>7.2</v>
      </c>
    </row>
    <row r="8" spans="1:22" x14ac:dyDescent="0.25">
      <c r="A8" s="2" t="s">
        <v>53</v>
      </c>
      <c r="B8" s="1" t="s">
        <v>40</v>
      </c>
      <c r="C8" s="3">
        <v>-73.221722222222226</v>
      </c>
      <c r="D8" s="3">
        <v>5.7237777777777783</v>
      </c>
      <c r="E8" s="1">
        <v>195.27628854390221</v>
      </c>
      <c r="F8" s="5">
        <v>3.8999999999999999E-5</v>
      </c>
      <c r="G8" s="1">
        <v>17.14</v>
      </c>
      <c r="H8" s="1">
        <v>1115.0999999999999</v>
      </c>
      <c r="I8" s="1">
        <v>38</v>
      </c>
      <c r="K8" s="1">
        <v>55</v>
      </c>
      <c r="L8" s="1">
        <v>80.471000000000004</v>
      </c>
      <c r="M8" s="1">
        <v>74.790000000000006</v>
      </c>
      <c r="N8" s="1">
        <v>8.9999999999999993E-3</v>
      </c>
      <c r="O8" s="1">
        <v>0.19</v>
      </c>
      <c r="P8" s="1">
        <v>6.33</v>
      </c>
      <c r="Q8" s="1">
        <v>5.46</v>
      </c>
      <c r="R8" s="1" t="s">
        <v>144</v>
      </c>
      <c r="S8" s="9">
        <v>6.4313637641589869</v>
      </c>
      <c r="T8" s="1" t="s">
        <v>144</v>
      </c>
      <c r="V8" s="1">
        <v>8.42</v>
      </c>
    </row>
    <row r="9" spans="1:22" x14ac:dyDescent="0.25">
      <c r="A9" s="2" t="s">
        <v>54</v>
      </c>
      <c r="B9" s="1" t="s">
        <v>40</v>
      </c>
      <c r="C9" s="3">
        <v>-73.213833333333341</v>
      </c>
      <c r="D9" s="3">
        <v>5.7314444444444446</v>
      </c>
      <c r="E9" s="1">
        <v>193.57910448088222</v>
      </c>
      <c r="F9" s="5">
        <v>9.1500000000000001E-4</v>
      </c>
      <c r="G9" s="1">
        <v>16.149999999999999</v>
      </c>
      <c r="H9" s="1">
        <v>1917</v>
      </c>
      <c r="I9" s="1">
        <v>870</v>
      </c>
      <c r="J9" s="1">
        <v>2.84</v>
      </c>
      <c r="K9" s="1">
        <v>404</v>
      </c>
      <c r="M9" s="1">
        <v>2</v>
      </c>
      <c r="N9" s="1">
        <v>0.39400000000000002</v>
      </c>
      <c r="O9" s="1">
        <v>7.7</v>
      </c>
      <c r="P9" s="1">
        <v>2.1</v>
      </c>
      <c r="Q9" s="1">
        <v>1.63</v>
      </c>
      <c r="R9" s="9">
        <v>5.1844074854123203</v>
      </c>
      <c r="S9" s="1" t="s">
        <v>144</v>
      </c>
      <c r="T9" s="9">
        <v>3.0382226383687185</v>
      </c>
      <c r="U9" s="1">
        <v>95</v>
      </c>
      <c r="V9" s="1">
        <v>6.17</v>
      </c>
    </row>
    <row r="10" spans="1:22" x14ac:dyDescent="0.25">
      <c r="A10" s="2" t="s">
        <v>55</v>
      </c>
      <c r="B10" s="1" t="s">
        <v>40</v>
      </c>
      <c r="C10" s="3">
        <v>-73.210708333333329</v>
      </c>
      <c r="D10" s="3">
        <v>5.7320333333333338</v>
      </c>
      <c r="E10" s="1">
        <v>192.70814622051822</v>
      </c>
      <c r="F10" s="5">
        <v>5.4000000000000001E-4</v>
      </c>
      <c r="G10" s="1">
        <v>17</v>
      </c>
      <c r="H10" s="1">
        <v>612.9</v>
      </c>
      <c r="I10" s="1">
        <v>200</v>
      </c>
      <c r="J10" s="1">
        <v>0.04</v>
      </c>
      <c r="K10" s="1">
        <v>366</v>
      </c>
      <c r="L10" s="1">
        <v>19.54</v>
      </c>
      <c r="M10" s="1">
        <v>3.82</v>
      </c>
      <c r="N10" s="1">
        <v>0.03</v>
      </c>
      <c r="O10" s="1">
        <f>0.38/2</f>
        <v>0.19</v>
      </c>
      <c r="P10" s="1">
        <v>2.83</v>
      </c>
      <c r="Q10" s="1">
        <v>1.44</v>
      </c>
      <c r="R10" s="9">
        <v>5.1844074854123203</v>
      </c>
      <c r="S10" s="1" t="s">
        <v>144</v>
      </c>
      <c r="T10" s="9">
        <v>3.0382226383687185</v>
      </c>
      <c r="U10" s="1">
        <v>223</v>
      </c>
      <c r="V10" s="1">
        <v>7.3</v>
      </c>
    </row>
    <row r="11" spans="1:22" x14ac:dyDescent="0.25">
      <c r="A11" s="2" t="s">
        <v>56</v>
      </c>
      <c r="B11" s="1" t="s">
        <v>40</v>
      </c>
      <c r="C11" s="3">
        <v>-73.198975000000004</v>
      </c>
      <c r="D11" s="3">
        <v>5.7404138888888889</v>
      </c>
      <c r="E11" s="1">
        <v>190.13729959627821</v>
      </c>
      <c r="F11" s="5">
        <v>1.4000000000000001E-4</v>
      </c>
      <c r="G11" s="1">
        <v>14.7</v>
      </c>
      <c r="H11" s="1">
        <v>131</v>
      </c>
      <c r="I11" s="1">
        <v>5</v>
      </c>
      <c r="K11" s="1">
        <v>18</v>
      </c>
      <c r="P11" s="1">
        <v>0.23</v>
      </c>
      <c r="R11" s="1" t="s">
        <v>144</v>
      </c>
      <c r="S11" s="1" t="s">
        <v>144</v>
      </c>
      <c r="T11" s="1" t="s">
        <v>144</v>
      </c>
      <c r="U11" s="1">
        <v>54.8</v>
      </c>
      <c r="V11" s="1">
        <v>6.7</v>
      </c>
    </row>
    <row r="12" spans="1:22" x14ac:dyDescent="0.25">
      <c r="A12" s="2" t="s">
        <v>57</v>
      </c>
      <c r="B12" s="1" t="s">
        <v>40</v>
      </c>
      <c r="C12" s="3">
        <v>-73.156777777777791</v>
      </c>
      <c r="D12" s="3">
        <v>5.7601666666666667</v>
      </c>
      <c r="E12" s="1">
        <v>181.2444930157782</v>
      </c>
      <c r="F12" s="5">
        <v>2.6999999999999999E-5</v>
      </c>
      <c r="G12" s="1">
        <v>30.1</v>
      </c>
      <c r="H12" s="1">
        <v>703.6</v>
      </c>
      <c r="I12" s="1">
        <v>16</v>
      </c>
      <c r="J12" s="1">
        <v>3.87</v>
      </c>
      <c r="K12" s="1">
        <v>31.7</v>
      </c>
      <c r="L12" s="1">
        <v>2</v>
      </c>
      <c r="M12" s="1">
        <v>1</v>
      </c>
      <c r="N12" s="1">
        <v>0.03</v>
      </c>
      <c r="O12" s="1">
        <v>4.0999999999999996</v>
      </c>
      <c r="P12" s="1">
        <v>1.9</v>
      </c>
      <c r="Q12" s="1">
        <v>0.75600000000000001</v>
      </c>
      <c r="S12" s="1" t="s">
        <v>144</v>
      </c>
      <c r="U12" s="1">
        <v>59.7</v>
      </c>
      <c r="V12" s="1">
        <v>7.3</v>
      </c>
    </row>
    <row r="13" spans="1:22" x14ac:dyDescent="0.25">
      <c r="A13" s="2" t="s">
        <v>58</v>
      </c>
      <c r="B13" s="1" t="s">
        <v>40</v>
      </c>
      <c r="C13" s="3">
        <v>-73.149019444444448</v>
      </c>
      <c r="D13" s="3">
        <v>5.7678805555555552</v>
      </c>
      <c r="E13" s="1">
        <v>180.0271074516582</v>
      </c>
      <c r="F13" s="5">
        <v>0.177894</v>
      </c>
      <c r="G13" s="1">
        <v>17.2</v>
      </c>
      <c r="H13" s="1">
        <v>183.5</v>
      </c>
      <c r="I13" s="1">
        <v>16.5</v>
      </c>
      <c r="J13" s="1">
        <v>2.4</v>
      </c>
      <c r="K13" s="1">
        <v>86.67</v>
      </c>
      <c r="L13" s="1">
        <v>47.28</v>
      </c>
      <c r="M13" s="1">
        <v>19.54</v>
      </c>
      <c r="N13" s="1">
        <v>0.02</v>
      </c>
      <c r="O13" s="1">
        <v>2.95</v>
      </c>
      <c r="P13" s="1">
        <v>0.84</v>
      </c>
      <c r="R13" s="1" t="s">
        <v>144</v>
      </c>
      <c r="S13" s="1" t="s">
        <v>144</v>
      </c>
      <c r="T13" s="1" t="s">
        <v>144</v>
      </c>
      <c r="V13" s="1">
        <v>6.1</v>
      </c>
    </row>
    <row r="14" spans="1:22" x14ac:dyDescent="0.25">
      <c r="A14" s="2" t="s">
        <v>58</v>
      </c>
      <c r="B14" s="10" t="s">
        <v>40</v>
      </c>
      <c r="C14" s="3">
        <v>-73.148055555555558</v>
      </c>
      <c r="D14" s="3">
        <v>5.7666944444444441</v>
      </c>
      <c r="E14" s="1">
        <v>179.92924578908591</v>
      </c>
      <c r="F14" s="5">
        <v>1.0149999999999998E-3</v>
      </c>
      <c r="G14" s="1">
        <v>22.1</v>
      </c>
      <c r="H14" s="1">
        <v>4744.5</v>
      </c>
      <c r="I14" s="1">
        <v>952</v>
      </c>
      <c r="J14" s="1">
        <v>1.17</v>
      </c>
      <c r="K14" s="1">
        <v>16.600000000000001</v>
      </c>
      <c r="L14" s="1">
        <v>5.3</v>
      </c>
      <c r="M14" s="1">
        <f>4.2/2</f>
        <v>2.1</v>
      </c>
      <c r="N14" s="1">
        <v>0.42199999999999999</v>
      </c>
      <c r="O14" s="1">
        <v>0.16300000000000001</v>
      </c>
      <c r="P14" s="1">
        <v>0.05</v>
      </c>
      <c r="Q14" s="1">
        <f>0.01/2</f>
        <v>5.0000000000000001E-3</v>
      </c>
      <c r="R14" s="1">
        <v>4.0491792446459671</v>
      </c>
      <c r="S14" s="1" t="s">
        <v>144</v>
      </c>
      <c r="T14" s="1">
        <v>3.3109056293761414</v>
      </c>
      <c r="U14" s="1">
        <f>79.6/2</f>
        <v>39.799999999999997</v>
      </c>
      <c r="V14" s="1">
        <v>6.31</v>
      </c>
    </row>
    <row r="15" spans="1:22" x14ac:dyDescent="0.25">
      <c r="A15" s="2" t="s">
        <v>58</v>
      </c>
      <c r="B15" s="1" t="s">
        <v>40</v>
      </c>
      <c r="C15" s="3">
        <v>-73.147333333333336</v>
      </c>
      <c r="D15" s="3">
        <v>5.7664166666666663</v>
      </c>
      <c r="E15" s="1">
        <v>179.84575310841302</v>
      </c>
      <c r="F15" s="5">
        <v>1.8</v>
      </c>
      <c r="G15" s="1">
        <v>27.8</v>
      </c>
      <c r="H15" s="1">
        <v>185</v>
      </c>
      <c r="I15" s="1">
        <v>33</v>
      </c>
      <c r="J15" s="1">
        <v>3.5</v>
      </c>
      <c r="K15" s="1">
        <v>3.5</v>
      </c>
      <c r="L15" s="1">
        <v>4</v>
      </c>
      <c r="M15" s="1">
        <v>1</v>
      </c>
      <c r="N15" s="1">
        <v>0.04</v>
      </c>
      <c r="O15" s="1">
        <v>1.5</v>
      </c>
      <c r="P15" s="1">
        <v>0.44</v>
      </c>
      <c r="Q15" s="1">
        <f>0.5/2</f>
        <v>0.25</v>
      </c>
      <c r="R15" s="1">
        <v>4.2387735017206962</v>
      </c>
      <c r="S15" s="1" t="s">
        <v>144</v>
      </c>
      <c r="T15" s="1">
        <v>3.6444385894678386</v>
      </c>
      <c r="U15" s="1">
        <v>21.9</v>
      </c>
      <c r="V15" s="1">
        <v>6.92</v>
      </c>
    </row>
    <row r="16" spans="1:22" x14ac:dyDescent="0.25">
      <c r="A16" s="2" t="s">
        <v>58</v>
      </c>
      <c r="B16" s="1" t="s">
        <v>40</v>
      </c>
      <c r="C16" s="3">
        <v>-73.14702777777778</v>
      </c>
      <c r="D16" s="3">
        <v>5.766861111111111</v>
      </c>
      <c r="E16" s="1">
        <v>179.81336439617712</v>
      </c>
      <c r="F16" s="5">
        <v>1E-4</v>
      </c>
      <c r="G16" s="1">
        <v>18.899999999999999</v>
      </c>
      <c r="H16" s="1">
        <v>260</v>
      </c>
      <c r="I16" s="1">
        <v>26</v>
      </c>
      <c r="J16" s="1">
        <v>3.1</v>
      </c>
      <c r="K16" s="1">
        <v>8.77</v>
      </c>
      <c r="L16" s="1">
        <v>4</v>
      </c>
      <c r="M16" s="1">
        <v>2.0299999999999998</v>
      </c>
      <c r="N16" s="1">
        <v>0.04</v>
      </c>
      <c r="O16" s="1">
        <v>0.11</v>
      </c>
      <c r="P16" s="1">
        <v>0.6</v>
      </c>
      <c r="Q16" s="1">
        <v>0.43</v>
      </c>
      <c r="R16" s="1">
        <v>4.2624510897304297</v>
      </c>
      <c r="S16" s="1">
        <v>4.0827853703164498</v>
      </c>
      <c r="T16" s="1" t="s">
        <v>144</v>
      </c>
      <c r="U16" s="1">
        <v>42.38</v>
      </c>
      <c r="V16" s="1">
        <v>5.9</v>
      </c>
    </row>
    <row r="17" spans="1:22" x14ac:dyDescent="0.25">
      <c r="A17" s="2" t="s">
        <v>58</v>
      </c>
      <c r="B17" s="1" t="s">
        <v>40</v>
      </c>
      <c r="C17" s="3">
        <v>-73.145722222222233</v>
      </c>
      <c r="D17" s="3">
        <v>5.7664166666666663</v>
      </c>
      <c r="E17" s="1">
        <v>179.6499502590641</v>
      </c>
      <c r="F17" s="5">
        <v>4.26E-4</v>
      </c>
      <c r="G17" s="1">
        <v>20.9</v>
      </c>
      <c r="H17" s="1">
        <v>605.79999999999995</v>
      </c>
      <c r="I17" s="1">
        <v>36</v>
      </c>
      <c r="J17" s="1">
        <v>3.3</v>
      </c>
      <c r="K17" s="1">
        <v>38.9</v>
      </c>
      <c r="L17" s="1">
        <v>32.6</v>
      </c>
      <c r="M17" s="1">
        <v>26.5</v>
      </c>
      <c r="N17" s="1">
        <f>4.7/2</f>
        <v>2.35</v>
      </c>
      <c r="O17" s="1">
        <v>1.6</v>
      </c>
      <c r="P17" s="1">
        <v>7.9</v>
      </c>
      <c r="Q17" s="1">
        <v>5.4</v>
      </c>
      <c r="R17" s="1">
        <v>5.0318122713303701</v>
      </c>
      <c r="S17" s="1" t="s">
        <v>144</v>
      </c>
      <c r="T17" s="1">
        <v>3.7989267385772014</v>
      </c>
      <c r="U17" s="1">
        <v>28.2</v>
      </c>
      <c r="V17" s="1">
        <v>7.38</v>
      </c>
    </row>
    <row r="18" spans="1:22" x14ac:dyDescent="0.25">
      <c r="A18" s="2" t="s">
        <v>59</v>
      </c>
      <c r="B18" s="1" t="s">
        <v>40</v>
      </c>
      <c r="C18" s="3">
        <v>-73.130916666666664</v>
      </c>
      <c r="D18" s="3">
        <v>5.7736388888888888</v>
      </c>
      <c r="E18" s="1">
        <v>177.67813837746411</v>
      </c>
      <c r="F18" s="5">
        <v>8.9999999999999998E-4</v>
      </c>
      <c r="G18" s="1">
        <v>18</v>
      </c>
      <c r="I18" s="1">
        <v>195</v>
      </c>
      <c r="J18" s="1">
        <v>1</v>
      </c>
      <c r="K18" s="1">
        <v>200</v>
      </c>
      <c r="L18" s="1">
        <v>34</v>
      </c>
      <c r="M18" s="1">
        <v>20</v>
      </c>
      <c r="N18" s="1">
        <v>0</v>
      </c>
      <c r="O18" s="1">
        <v>0</v>
      </c>
      <c r="P18" s="1">
        <v>5.6</v>
      </c>
      <c r="R18" s="9">
        <v>8</v>
      </c>
      <c r="S18" s="9">
        <v>5</v>
      </c>
      <c r="T18" s="1" t="s">
        <v>144</v>
      </c>
      <c r="U18" s="1">
        <v>300</v>
      </c>
      <c r="V18" s="1">
        <v>7</v>
      </c>
    </row>
    <row r="19" spans="1:22" x14ac:dyDescent="0.25">
      <c r="A19" s="2" t="s">
        <v>145</v>
      </c>
      <c r="B19" s="1" t="s">
        <v>40</v>
      </c>
      <c r="C19" s="3">
        <v>-73.107744444444435</v>
      </c>
      <c r="D19" s="3">
        <v>5.7676249999999998</v>
      </c>
      <c r="E19" s="1">
        <v>174.30180289303411</v>
      </c>
      <c r="F19" s="5">
        <v>4.1299999999999996E-4</v>
      </c>
      <c r="G19" s="1">
        <v>16.2</v>
      </c>
      <c r="H19" s="1">
        <v>6910</v>
      </c>
      <c r="I19" s="1">
        <v>66</v>
      </c>
      <c r="J19" s="1">
        <v>0.1</v>
      </c>
      <c r="K19" s="1">
        <v>103</v>
      </c>
      <c r="L19" s="1">
        <v>7.84</v>
      </c>
      <c r="M19" s="1">
        <v>7.641</v>
      </c>
      <c r="N19" s="1">
        <v>4.4600000000000001E-2</v>
      </c>
      <c r="O19" s="1">
        <v>3.83</v>
      </c>
      <c r="P19" s="1">
        <v>1.04</v>
      </c>
      <c r="R19" s="1">
        <f>+LOG(1437000)</f>
        <v>6.1574567681342254</v>
      </c>
      <c r="T19" s="1">
        <f>+LOG(91390)</f>
        <v>4.9608986773266608</v>
      </c>
      <c r="U19" s="1">
        <v>628.13</v>
      </c>
      <c r="V19" s="1">
        <v>9.65</v>
      </c>
    </row>
    <row r="20" spans="1:22" x14ac:dyDescent="0.25">
      <c r="A20" s="2" t="s">
        <v>60</v>
      </c>
      <c r="B20" s="1" t="s">
        <v>40</v>
      </c>
      <c r="C20" s="3">
        <v>-73.107694444444434</v>
      </c>
      <c r="D20" s="3">
        <v>5.767611111111111</v>
      </c>
      <c r="E20" s="1">
        <v>174.29301056656101</v>
      </c>
      <c r="F20" s="5">
        <v>3.0079999999999999E-2</v>
      </c>
      <c r="G20" s="1">
        <v>19.3</v>
      </c>
      <c r="H20" s="1">
        <v>903.45</v>
      </c>
      <c r="I20" s="1">
        <v>53.65</v>
      </c>
      <c r="J20" s="1">
        <v>3.47</v>
      </c>
      <c r="K20" s="1">
        <v>27.05</v>
      </c>
      <c r="L20" s="1">
        <v>8.9</v>
      </c>
      <c r="M20" s="1">
        <v>5.15</v>
      </c>
      <c r="N20" s="1">
        <v>9.5000000000000001E-2</v>
      </c>
      <c r="O20" s="1">
        <v>14.4</v>
      </c>
      <c r="P20" s="1">
        <v>7.24</v>
      </c>
      <c r="Q20" s="1">
        <v>4.0999999999999996</v>
      </c>
      <c r="R20" s="1">
        <v>6.0744507189545915</v>
      </c>
      <c r="S20" s="1" t="s">
        <v>144</v>
      </c>
      <c r="T20" s="1">
        <v>5.6512780139981444</v>
      </c>
      <c r="U20" s="1">
        <v>95.55</v>
      </c>
      <c r="V20" s="1">
        <v>7.3</v>
      </c>
    </row>
    <row r="21" spans="1:22" x14ac:dyDescent="0.25">
      <c r="A21" s="2" t="s">
        <v>61</v>
      </c>
      <c r="B21" s="1" t="s">
        <v>40</v>
      </c>
      <c r="C21" s="3">
        <v>-73.102755555555547</v>
      </c>
      <c r="D21" s="3">
        <v>5.7698694444444447</v>
      </c>
      <c r="E21" s="1">
        <v>173.35971750252801</v>
      </c>
      <c r="F21" s="5">
        <v>1.5E-3</v>
      </c>
      <c r="H21" s="1">
        <v>511</v>
      </c>
      <c r="I21" s="1">
        <v>90</v>
      </c>
      <c r="K21" s="1">
        <v>90</v>
      </c>
      <c r="R21" s="1" t="s">
        <v>144</v>
      </c>
      <c r="S21" s="1" t="s">
        <v>144</v>
      </c>
      <c r="T21" s="1" t="s">
        <v>144</v>
      </c>
      <c r="V21" s="1">
        <v>5</v>
      </c>
    </row>
    <row r="22" spans="1:22" x14ac:dyDescent="0.25">
      <c r="A22" s="11" t="s">
        <v>146</v>
      </c>
      <c r="B22" s="1" t="s">
        <v>40</v>
      </c>
      <c r="C22" s="3">
        <v>-73.014333332999968</v>
      </c>
      <c r="D22" s="3">
        <v>5.8049444440000597</v>
      </c>
      <c r="E22" s="4">
        <v>156.759272074428</v>
      </c>
      <c r="F22" s="1">
        <v>2.4600000000000002E-4</v>
      </c>
      <c r="G22" s="1">
        <v>17.95</v>
      </c>
      <c r="H22" s="1">
        <v>839.63</v>
      </c>
      <c r="I22" s="1">
        <v>63</v>
      </c>
      <c r="J22" s="1">
        <v>2.33</v>
      </c>
      <c r="K22" s="1">
        <v>113</v>
      </c>
      <c r="L22" s="1">
        <v>111.99</v>
      </c>
      <c r="M22" s="1">
        <v>86.2</v>
      </c>
      <c r="N22" s="1">
        <v>3.5000000000000001E-3</v>
      </c>
      <c r="O22" s="1">
        <v>2</v>
      </c>
      <c r="P22" s="1">
        <v>37.9</v>
      </c>
      <c r="Q22" s="1">
        <v>12.7</v>
      </c>
      <c r="R22" s="1">
        <f>+LOG(999000)</f>
        <v>5.9995654882259819</v>
      </c>
      <c r="T22" s="1">
        <f>+LOG(345000)</f>
        <v>5.5378190950732744</v>
      </c>
      <c r="U22" s="1">
        <v>566</v>
      </c>
      <c r="V22" s="1">
        <v>7.7</v>
      </c>
    </row>
    <row r="23" spans="1:22" x14ac:dyDescent="0.25">
      <c r="A23" s="2" t="s">
        <v>62</v>
      </c>
      <c r="B23" s="1" t="s">
        <v>40</v>
      </c>
      <c r="C23" s="3">
        <v>-72.979611111111112</v>
      </c>
      <c r="D23" s="3">
        <v>5.7845277777777779</v>
      </c>
      <c r="E23" s="1">
        <v>149.46242633138803</v>
      </c>
      <c r="F23" s="5">
        <v>3.2200000000000002E-4</v>
      </c>
      <c r="G23" s="1">
        <v>17.399999999999999</v>
      </c>
      <c r="H23" s="1">
        <v>1459</v>
      </c>
      <c r="I23" s="1">
        <v>104</v>
      </c>
      <c r="J23" s="1">
        <v>1.375</v>
      </c>
      <c r="K23" s="1">
        <v>514</v>
      </c>
      <c r="M23" s="1">
        <v>33.9</v>
      </c>
      <c r="N23" s="1">
        <f>0.007/2</f>
        <v>3.5000000000000001E-3</v>
      </c>
      <c r="O23" s="1">
        <v>0.8</v>
      </c>
      <c r="P23" s="1">
        <v>9.23</v>
      </c>
      <c r="Q23" s="1">
        <v>7.1</v>
      </c>
      <c r="R23" s="9">
        <v>7.9818186071706636</v>
      </c>
      <c r="S23" s="1" t="s">
        <v>144</v>
      </c>
      <c r="T23" s="9">
        <v>7.6170003411208986</v>
      </c>
      <c r="V23" s="1">
        <v>6.91</v>
      </c>
    </row>
    <row r="24" spans="1:22" ht="15" customHeight="1" x14ac:dyDescent="0.25">
      <c r="A24" s="2" t="s">
        <v>62</v>
      </c>
      <c r="B24" s="1" t="s">
        <v>40</v>
      </c>
      <c r="C24" s="3">
        <v>-72.968063888888892</v>
      </c>
      <c r="D24" s="3">
        <v>5.7573888888888876</v>
      </c>
      <c r="E24" s="1">
        <v>145.81176564199802</v>
      </c>
      <c r="F24" s="5">
        <v>6.3100000000000005E-4</v>
      </c>
      <c r="G24" s="1">
        <v>16.649999999999999</v>
      </c>
      <c r="H24" s="1">
        <v>2356.5</v>
      </c>
      <c r="I24" s="1">
        <v>476</v>
      </c>
      <c r="J24" s="1">
        <v>1.08</v>
      </c>
      <c r="K24" s="1">
        <v>2612</v>
      </c>
      <c r="M24" s="1">
        <v>31.4</v>
      </c>
      <c r="N24" s="1">
        <v>3.5000000000000001E-3</v>
      </c>
      <c r="O24" s="1">
        <v>1.3</v>
      </c>
      <c r="P24" s="1">
        <v>36.36</v>
      </c>
      <c r="Q24" s="1">
        <v>27.97</v>
      </c>
      <c r="R24" s="9">
        <v>6.9947569445876283</v>
      </c>
      <c r="S24" s="1" t="s">
        <v>144</v>
      </c>
      <c r="T24" s="9">
        <v>6.8041394323353508</v>
      </c>
      <c r="V24" s="1">
        <v>6.04</v>
      </c>
    </row>
    <row r="25" spans="1:22" x14ac:dyDescent="0.25">
      <c r="A25" s="2" t="s">
        <v>63</v>
      </c>
      <c r="B25" s="1" t="s">
        <v>40</v>
      </c>
      <c r="C25" s="3">
        <v>-72.931344444444449</v>
      </c>
      <c r="D25" s="3">
        <v>5.7597416666666668</v>
      </c>
      <c r="E25" s="1">
        <v>138.80514161092802</v>
      </c>
      <c r="F25" s="5">
        <v>0.1431</v>
      </c>
      <c r="I25" s="1">
        <v>5</v>
      </c>
      <c r="K25" s="1">
        <v>20</v>
      </c>
      <c r="M25" s="1">
        <v>0.62</v>
      </c>
      <c r="N25" s="1">
        <v>0.01</v>
      </c>
      <c r="O25" s="1">
        <f>0.35/2</f>
        <v>0.17499999999999999</v>
      </c>
      <c r="P25" s="1">
        <v>1.7500000000000002E-2</v>
      </c>
      <c r="Q25" s="1">
        <v>0.01</v>
      </c>
      <c r="R25" s="1" t="s">
        <v>144</v>
      </c>
      <c r="S25" s="1" t="s">
        <v>144</v>
      </c>
      <c r="T25" s="1" t="s">
        <v>144</v>
      </c>
    </row>
    <row r="26" spans="1:22" x14ac:dyDescent="0.25">
      <c r="A26" s="2" t="s">
        <v>63</v>
      </c>
      <c r="B26" s="1" t="s">
        <v>40</v>
      </c>
      <c r="C26" s="3">
        <v>-72.931344444444449</v>
      </c>
      <c r="D26" s="3">
        <v>5.7597416666666668</v>
      </c>
      <c r="E26" s="1">
        <v>138.75359393321833</v>
      </c>
      <c r="F26" s="5">
        <f>1.2/1000</f>
        <v>1.1999999999999999E-3</v>
      </c>
      <c r="I26" s="1">
        <v>5</v>
      </c>
      <c r="K26" s="1">
        <v>20</v>
      </c>
      <c r="M26" s="1">
        <v>0.62</v>
      </c>
      <c r="N26" s="1">
        <v>0.01</v>
      </c>
      <c r="O26" s="1">
        <f>0.35/2</f>
        <v>0.17499999999999999</v>
      </c>
      <c r="P26" s="1">
        <v>1.7500000000000002E-2</v>
      </c>
      <c r="Q26" s="1">
        <v>0.01</v>
      </c>
      <c r="R26" s="1" t="s">
        <v>144</v>
      </c>
      <c r="S26" s="1" t="s">
        <v>144</v>
      </c>
      <c r="T26" s="1" t="s">
        <v>144</v>
      </c>
    </row>
    <row r="27" spans="1:22" x14ac:dyDescent="0.25">
      <c r="A27" s="2" t="s">
        <v>64</v>
      </c>
      <c r="B27" s="1" t="s">
        <v>40</v>
      </c>
      <c r="C27" s="3">
        <v>-72.913638888888897</v>
      </c>
      <c r="D27" s="3">
        <v>5.7577499999999997</v>
      </c>
      <c r="E27" s="1">
        <v>136.4660591643883</v>
      </c>
      <c r="F27" s="5">
        <v>6.4999999999999997E-4</v>
      </c>
      <c r="G27" s="1">
        <v>16.2</v>
      </c>
      <c r="H27" s="1">
        <v>1723</v>
      </c>
      <c r="I27" s="1">
        <v>17</v>
      </c>
      <c r="J27" s="1">
        <v>4.4000000000000004</v>
      </c>
      <c r="K27" s="1">
        <v>38</v>
      </c>
      <c r="M27" s="1">
        <v>10.9</v>
      </c>
      <c r="N27" s="1">
        <v>0.115</v>
      </c>
      <c r="O27" s="1">
        <v>1.3</v>
      </c>
      <c r="P27" s="1">
        <v>1.1100000000000001</v>
      </c>
      <c r="Q27" s="1">
        <v>0.84</v>
      </c>
      <c r="R27" s="9">
        <v>6.1846914308175984</v>
      </c>
      <c r="S27" s="1" t="s">
        <v>144</v>
      </c>
      <c r="T27" s="9">
        <v>5.6127838567197355</v>
      </c>
      <c r="V27" s="1">
        <v>7.54</v>
      </c>
    </row>
    <row r="28" spans="1:22" x14ac:dyDescent="0.25">
      <c r="A28" s="2" t="s">
        <v>65</v>
      </c>
      <c r="B28" s="1" t="s">
        <v>40</v>
      </c>
      <c r="C28" s="3">
        <v>-72.90836111111112</v>
      </c>
      <c r="D28" s="3">
        <v>5.7591666666666663</v>
      </c>
      <c r="E28" s="1">
        <v>135.8439193166713</v>
      </c>
      <c r="F28" s="5">
        <v>5.1000000000000004E-4</v>
      </c>
      <c r="G28" s="1">
        <v>18.2</v>
      </c>
      <c r="H28" s="1">
        <v>790</v>
      </c>
      <c r="I28" s="1">
        <v>143</v>
      </c>
      <c r="J28" s="1">
        <v>2.0499999999999998</v>
      </c>
      <c r="K28" s="1">
        <v>171</v>
      </c>
      <c r="L28" s="1">
        <v>33.6</v>
      </c>
      <c r="M28" s="1">
        <v>29.1</v>
      </c>
      <c r="N28" s="1">
        <v>7.0000000000000001E-3</v>
      </c>
      <c r="O28" s="1">
        <v>0.25</v>
      </c>
      <c r="P28" s="1">
        <v>66.7</v>
      </c>
      <c r="Q28" s="1">
        <v>3.1</v>
      </c>
      <c r="U28" s="1">
        <v>222</v>
      </c>
      <c r="V28" s="1">
        <v>7.4</v>
      </c>
    </row>
    <row r="29" spans="1:22" x14ac:dyDescent="0.25">
      <c r="A29" s="2" t="s">
        <v>66</v>
      </c>
      <c r="B29" s="1" t="s">
        <v>40</v>
      </c>
      <c r="C29" s="3">
        <v>-72.902722222222224</v>
      </c>
      <c r="D29" s="3">
        <v>5.7611944444444454</v>
      </c>
      <c r="E29" s="1">
        <v>135.17794146724833</v>
      </c>
      <c r="F29" s="5">
        <v>1.6000000000000001E-3</v>
      </c>
      <c r="G29" s="1">
        <v>20.6</v>
      </c>
      <c r="H29" s="1">
        <v>1259.5</v>
      </c>
      <c r="I29" s="1">
        <v>216</v>
      </c>
      <c r="J29" s="1">
        <v>0.64</v>
      </c>
      <c r="K29" s="1">
        <v>776</v>
      </c>
      <c r="L29" s="1">
        <v>57.1</v>
      </c>
      <c r="M29" s="1">
        <v>41.1</v>
      </c>
      <c r="N29" s="1">
        <v>0.03</v>
      </c>
      <c r="O29" s="1">
        <v>4.4999999999999998E-2</v>
      </c>
      <c r="P29" s="1">
        <v>27.1</v>
      </c>
      <c r="Q29" s="1">
        <v>9.5</v>
      </c>
      <c r="R29" s="1">
        <v>5.7387805584843692</v>
      </c>
      <c r="S29" s="1" t="s">
        <v>144</v>
      </c>
      <c r="T29" s="1">
        <v>4</v>
      </c>
      <c r="U29" s="1">
        <v>502</v>
      </c>
      <c r="V29" s="1">
        <v>7.4</v>
      </c>
    </row>
    <row r="30" spans="1:22" x14ac:dyDescent="0.25">
      <c r="A30" s="2" t="s">
        <v>62</v>
      </c>
      <c r="B30" s="1" t="s">
        <v>40</v>
      </c>
      <c r="C30" s="3">
        <v>-72.892138888888894</v>
      </c>
      <c r="D30" s="3">
        <v>5.7634999999999996</v>
      </c>
      <c r="E30" s="1">
        <v>133.97773199676831</v>
      </c>
      <c r="F30" s="5">
        <v>1.822E-2</v>
      </c>
      <c r="G30" s="1">
        <v>16.899999999999999</v>
      </c>
      <c r="H30" s="1">
        <v>935.5</v>
      </c>
      <c r="I30" s="1">
        <v>128</v>
      </c>
      <c r="J30" s="1">
        <v>1.58</v>
      </c>
      <c r="K30" s="1">
        <v>203</v>
      </c>
      <c r="M30" s="1">
        <v>33.9</v>
      </c>
      <c r="N30" s="1">
        <v>3.5000000000000001E-3</v>
      </c>
      <c r="O30" s="1">
        <v>0.8</v>
      </c>
      <c r="P30" s="1">
        <v>8.16</v>
      </c>
      <c r="Q30" s="1">
        <v>6.28</v>
      </c>
      <c r="R30" s="9">
        <v>6.958085848521085</v>
      </c>
      <c r="S30" s="1" t="s">
        <v>144</v>
      </c>
      <c r="T30" s="9">
        <v>6.8350561017201166</v>
      </c>
      <c r="V30" s="1">
        <v>7.53</v>
      </c>
    </row>
    <row r="31" spans="1:22" x14ac:dyDescent="0.25">
      <c r="A31" s="2" t="s">
        <v>67</v>
      </c>
      <c r="B31" s="1" t="s">
        <v>40</v>
      </c>
      <c r="C31" s="3">
        <v>-72.89211111111112</v>
      </c>
      <c r="D31" s="3">
        <v>5.7634999999999996</v>
      </c>
      <c r="E31" s="1">
        <v>133.97128222859828</v>
      </c>
      <c r="F31" s="5">
        <v>2.8600000000000001E-3</v>
      </c>
      <c r="G31" s="1">
        <v>16.7</v>
      </c>
      <c r="H31" s="1">
        <v>1132.5</v>
      </c>
      <c r="I31" s="1">
        <v>313</v>
      </c>
      <c r="J31" s="1">
        <v>1.32</v>
      </c>
      <c r="K31" s="1">
        <v>564</v>
      </c>
      <c r="M31" s="1">
        <v>34.200000000000003</v>
      </c>
      <c r="N31" s="1">
        <v>3.5000000000000001E-3</v>
      </c>
      <c r="O31" s="1">
        <v>0.9</v>
      </c>
      <c r="P31" s="1">
        <v>10.69</v>
      </c>
      <c r="Q31" s="1">
        <v>8.23</v>
      </c>
      <c r="R31" s="9">
        <v>8.0784568180532919</v>
      </c>
      <c r="S31" s="1" t="s">
        <v>144</v>
      </c>
      <c r="T31" s="9">
        <v>7.9698816437464997</v>
      </c>
      <c r="V31" s="1">
        <v>7.98</v>
      </c>
    </row>
    <row r="32" spans="1:22" x14ac:dyDescent="0.25">
      <c r="A32" s="2" t="s">
        <v>68</v>
      </c>
      <c r="B32" s="1" t="s">
        <v>40</v>
      </c>
      <c r="C32" s="3">
        <v>-72.874855555555555</v>
      </c>
      <c r="D32" s="3">
        <v>5.7703888888888892</v>
      </c>
      <c r="E32" s="1">
        <v>131.78389040219827</v>
      </c>
      <c r="F32" s="5">
        <v>1.5910000000000001E-2</v>
      </c>
      <c r="G32" s="1">
        <v>24.5</v>
      </c>
      <c r="H32" s="1">
        <v>2007.5</v>
      </c>
      <c r="I32" s="1">
        <v>8</v>
      </c>
      <c r="J32" s="1">
        <v>5.05</v>
      </c>
      <c r="K32" s="1">
        <v>42</v>
      </c>
      <c r="P32" s="1">
        <v>0.1</v>
      </c>
      <c r="Q32" s="1">
        <v>0.09</v>
      </c>
      <c r="R32" s="1" t="s">
        <v>144</v>
      </c>
      <c r="S32" s="1" t="s">
        <v>144</v>
      </c>
      <c r="T32" s="1" t="s">
        <v>144</v>
      </c>
      <c r="U32" s="1">
        <v>118</v>
      </c>
      <c r="V32" s="1">
        <v>7.6</v>
      </c>
    </row>
    <row r="33" spans="1:22" x14ac:dyDescent="0.25">
      <c r="A33" s="2" t="s">
        <v>69</v>
      </c>
      <c r="B33" s="1" t="s">
        <v>40</v>
      </c>
      <c r="C33" s="3">
        <v>-72.866972499999989</v>
      </c>
      <c r="D33" s="3">
        <v>5.7685061111111109</v>
      </c>
      <c r="E33" s="1">
        <v>130.87018204778929</v>
      </c>
      <c r="F33" s="5">
        <v>5.9999999999999995E-4</v>
      </c>
      <c r="G33" s="1">
        <v>17.399999999999999</v>
      </c>
      <c r="H33" s="1">
        <v>119.5</v>
      </c>
      <c r="I33" s="1">
        <v>1550</v>
      </c>
      <c r="J33" s="1">
        <v>5.24</v>
      </c>
      <c r="K33" s="1">
        <v>0.02</v>
      </c>
      <c r="M33" s="1">
        <v>0.94</v>
      </c>
      <c r="N33" s="1">
        <v>3.5000000000000001E-3</v>
      </c>
      <c r="O33" s="1">
        <v>5.0000000000000001E-3</v>
      </c>
      <c r="P33" s="1">
        <v>1.4999999999999999E-2</v>
      </c>
      <c r="R33" s="1" t="s">
        <v>144</v>
      </c>
      <c r="S33" s="1" t="s">
        <v>144</v>
      </c>
      <c r="T33" s="1" t="s">
        <v>144</v>
      </c>
      <c r="U33" s="1">
        <v>27</v>
      </c>
      <c r="V33" s="1">
        <v>8.02</v>
      </c>
    </row>
    <row r="34" spans="1:22" x14ac:dyDescent="0.25">
      <c r="A34" s="2" t="s">
        <v>70</v>
      </c>
      <c r="B34" s="1" t="s">
        <v>40</v>
      </c>
      <c r="C34" s="3">
        <v>-72.833330555555548</v>
      </c>
      <c r="D34" s="3">
        <v>5.7925611111111106</v>
      </c>
      <c r="E34" s="1">
        <v>125.81555310443927</v>
      </c>
      <c r="F34" s="5">
        <v>1.47E-3</v>
      </c>
      <c r="G34" s="1">
        <v>17.399999999999999</v>
      </c>
      <c r="H34" s="1">
        <v>119.5</v>
      </c>
      <c r="I34" s="1">
        <v>1550</v>
      </c>
      <c r="J34" s="1">
        <v>5.24</v>
      </c>
      <c r="K34" s="1">
        <v>0.02</v>
      </c>
      <c r="M34" s="1">
        <v>0.94</v>
      </c>
      <c r="N34" s="1">
        <v>3.5000000000000001E-3</v>
      </c>
      <c r="O34" s="1">
        <v>5.0000000000000001E-3</v>
      </c>
      <c r="P34" s="1">
        <v>1.4999999999999999E-2</v>
      </c>
      <c r="R34" s="1" t="s">
        <v>144</v>
      </c>
      <c r="S34" s="1" t="s">
        <v>144</v>
      </c>
      <c r="T34" s="1" t="s">
        <v>144</v>
      </c>
      <c r="U34" s="1">
        <v>27</v>
      </c>
      <c r="V34" s="1">
        <v>8.02</v>
      </c>
    </row>
    <row r="35" spans="1:22" x14ac:dyDescent="0.25">
      <c r="A35" s="2" t="s">
        <v>71</v>
      </c>
      <c r="B35" s="1" t="s">
        <v>40</v>
      </c>
      <c r="C35" s="3">
        <v>-72.831058333333331</v>
      </c>
      <c r="D35" s="3">
        <v>5.7978555555555564</v>
      </c>
      <c r="E35" s="1">
        <v>125.16664310549727</v>
      </c>
      <c r="F35" s="5">
        <v>4.13E-3</v>
      </c>
      <c r="I35" s="1">
        <v>560</v>
      </c>
      <c r="K35" s="1">
        <v>41.8</v>
      </c>
      <c r="L35" s="1">
        <v>1</v>
      </c>
      <c r="M35" s="1">
        <v>0.5</v>
      </c>
      <c r="N35" s="1">
        <f>0.03/2</f>
        <v>1.4999999999999999E-2</v>
      </c>
      <c r="O35" s="1">
        <v>9.7000000000000003E-2</v>
      </c>
      <c r="P35" s="1">
        <v>0.16</v>
      </c>
      <c r="R35" s="1">
        <v>5.0382226383687181</v>
      </c>
      <c r="S35" s="1" t="s">
        <v>144</v>
      </c>
      <c r="T35" s="1">
        <v>4.5490032620257876</v>
      </c>
    </row>
    <row r="36" spans="1:22" x14ac:dyDescent="0.25">
      <c r="A36" s="11" t="s">
        <v>142</v>
      </c>
      <c r="B36" s="1" t="s">
        <v>40</v>
      </c>
      <c r="C36" s="4">
        <v>-72.835388888888886</v>
      </c>
      <c r="D36" s="3">
        <v>5.80738888888889</v>
      </c>
      <c r="E36" s="1">
        <v>123.88050919687727</v>
      </c>
      <c r="F36" s="5">
        <v>2.15E-3</v>
      </c>
      <c r="G36" s="1">
        <v>17.399999999999999</v>
      </c>
      <c r="H36" s="1">
        <v>119.5</v>
      </c>
      <c r="I36" s="1">
        <v>1550</v>
      </c>
      <c r="J36" s="1">
        <v>5.24</v>
      </c>
      <c r="K36" s="1">
        <v>0.02</v>
      </c>
      <c r="M36" s="1">
        <v>0.94</v>
      </c>
      <c r="N36" s="1">
        <v>3.5000000000000001E-3</v>
      </c>
      <c r="O36" s="1">
        <v>5.0000000000000001E-3</v>
      </c>
      <c r="P36" s="1">
        <v>1.4999999999999999E-2</v>
      </c>
      <c r="R36" s="1" t="s">
        <v>144</v>
      </c>
      <c r="S36" s="1" t="s">
        <v>144</v>
      </c>
      <c r="T36" s="1" t="s">
        <v>144</v>
      </c>
      <c r="U36" s="1">
        <v>27</v>
      </c>
      <c r="V36" s="1">
        <v>8.02</v>
      </c>
    </row>
    <row r="37" spans="1:22" x14ac:dyDescent="0.25">
      <c r="A37" s="2" t="s">
        <v>72</v>
      </c>
      <c r="B37" s="1" t="s">
        <v>40</v>
      </c>
      <c r="C37" s="3">
        <v>-72.834833333333322</v>
      </c>
      <c r="D37" s="3">
        <v>5.810888888888889</v>
      </c>
      <c r="E37" s="1">
        <v>123.47449712465027</v>
      </c>
      <c r="F37" s="5">
        <v>2.15E-3</v>
      </c>
      <c r="G37" s="1">
        <v>17.399999999999999</v>
      </c>
      <c r="H37" s="1">
        <v>119.5</v>
      </c>
      <c r="I37" s="1">
        <v>1550</v>
      </c>
      <c r="J37" s="1">
        <v>5.24</v>
      </c>
      <c r="K37" s="1">
        <v>0.02</v>
      </c>
      <c r="M37" s="1">
        <v>0.94</v>
      </c>
      <c r="N37" s="1">
        <v>3.5000000000000001E-3</v>
      </c>
      <c r="O37" s="1">
        <v>5.0000000000000001E-3</v>
      </c>
      <c r="P37" s="1">
        <v>1.4999999999999999E-2</v>
      </c>
      <c r="R37" s="1" t="s">
        <v>144</v>
      </c>
      <c r="S37" s="1" t="s">
        <v>144</v>
      </c>
      <c r="T37" s="1" t="s">
        <v>144</v>
      </c>
      <c r="U37" s="1">
        <v>27</v>
      </c>
      <c r="V37" s="1">
        <v>8.02</v>
      </c>
    </row>
    <row r="38" spans="1:22" x14ac:dyDescent="0.25">
      <c r="A38" s="11" t="s">
        <v>143</v>
      </c>
      <c r="B38" s="1" t="s">
        <v>40</v>
      </c>
      <c r="C38" s="4">
        <v>-72.835044444444435</v>
      </c>
      <c r="D38" s="3">
        <v>5.8114416666666697</v>
      </c>
      <c r="E38" s="1">
        <v>123.41053690676416</v>
      </c>
      <c r="F38" s="5">
        <v>2.15E-3</v>
      </c>
      <c r="G38" s="1">
        <v>17.399999999999999</v>
      </c>
      <c r="H38" s="1">
        <v>119.5</v>
      </c>
      <c r="I38" s="1">
        <v>1550</v>
      </c>
      <c r="J38" s="1">
        <v>5.24</v>
      </c>
      <c r="K38" s="1">
        <v>0.02</v>
      </c>
      <c r="M38" s="1">
        <v>0.94</v>
      </c>
      <c r="N38" s="1">
        <v>3.5000000000000001E-3</v>
      </c>
      <c r="O38" s="1">
        <v>5.0000000000000001E-3</v>
      </c>
      <c r="P38" s="1">
        <v>1.4999999999999999E-2</v>
      </c>
      <c r="R38" s="1" t="s">
        <v>144</v>
      </c>
      <c r="S38" s="1" t="s">
        <v>144</v>
      </c>
      <c r="T38" s="1" t="s">
        <v>144</v>
      </c>
      <c r="U38" s="1">
        <v>27</v>
      </c>
      <c r="V38" s="1">
        <v>8.02</v>
      </c>
    </row>
    <row r="39" spans="1:22" x14ac:dyDescent="0.25">
      <c r="A39" s="2" t="s">
        <v>73</v>
      </c>
      <c r="B39" s="1" t="s">
        <v>40</v>
      </c>
      <c r="C39" s="3">
        <v>-72.840068333333335</v>
      </c>
      <c r="D39" s="3">
        <v>5.8302055555555556</v>
      </c>
      <c r="E39" s="1">
        <v>120.84104256053416</v>
      </c>
      <c r="F39" s="5">
        <v>2.15E-3</v>
      </c>
      <c r="G39" s="1">
        <v>17.399999999999999</v>
      </c>
      <c r="H39" s="1">
        <v>119.5</v>
      </c>
      <c r="I39" s="1">
        <v>1550</v>
      </c>
      <c r="J39" s="1">
        <v>5.24</v>
      </c>
      <c r="K39" s="1">
        <v>0.02</v>
      </c>
      <c r="M39" s="1">
        <v>0.94</v>
      </c>
      <c r="N39" s="1">
        <v>3.5000000000000001E-3</v>
      </c>
      <c r="O39" s="1">
        <v>5.0000000000000001E-3</v>
      </c>
      <c r="P39" s="1">
        <v>1.4999999999999999E-2</v>
      </c>
      <c r="R39" s="1" t="s">
        <v>144</v>
      </c>
      <c r="S39" s="1" t="s">
        <v>144</v>
      </c>
      <c r="T39" s="1" t="s">
        <v>144</v>
      </c>
      <c r="U39" s="1">
        <v>27</v>
      </c>
      <c r="V39" s="1">
        <v>8.02</v>
      </c>
    </row>
    <row r="40" spans="1:22" x14ac:dyDescent="0.25">
      <c r="A40" s="2" t="s">
        <v>74</v>
      </c>
      <c r="B40" s="1" t="s">
        <v>40</v>
      </c>
      <c r="C40" s="3">
        <v>-72.839944444444441</v>
      </c>
      <c r="D40" s="3">
        <v>5.8305555555555557</v>
      </c>
      <c r="E40" s="1">
        <v>120.79646069161096</v>
      </c>
      <c r="F40" s="5">
        <v>2.15E-3</v>
      </c>
      <c r="G40" s="1">
        <v>17.399999999999999</v>
      </c>
      <c r="H40" s="1">
        <v>119.5</v>
      </c>
      <c r="I40" s="1">
        <v>1550</v>
      </c>
      <c r="J40" s="1">
        <v>5.24</v>
      </c>
      <c r="K40" s="1">
        <v>0.02</v>
      </c>
      <c r="M40" s="1">
        <v>0.94</v>
      </c>
      <c r="N40" s="1">
        <v>3.5000000000000001E-3</v>
      </c>
      <c r="O40" s="1">
        <v>5.0000000000000001E-3</v>
      </c>
      <c r="P40" s="1">
        <v>1.4999999999999999E-2</v>
      </c>
      <c r="R40" s="1" t="s">
        <v>144</v>
      </c>
      <c r="S40" s="1" t="s">
        <v>144</v>
      </c>
      <c r="T40" s="1" t="s">
        <v>144</v>
      </c>
      <c r="U40" s="1">
        <v>27</v>
      </c>
      <c r="V40" s="1">
        <v>8.02</v>
      </c>
    </row>
    <row r="41" spans="1:22" x14ac:dyDescent="0.25">
      <c r="A41" s="2" t="s">
        <v>75</v>
      </c>
      <c r="B41" s="1" t="s">
        <v>40</v>
      </c>
      <c r="C41" s="3">
        <v>-72.839722222222221</v>
      </c>
      <c r="D41" s="3">
        <v>5.8338888888888887</v>
      </c>
      <c r="E41" s="1">
        <v>120.39884191820396</v>
      </c>
      <c r="F41" s="5">
        <v>4.4200000000000003E-3</v>
      </c>
      <c r="G41" s="1">
        <v>19.399999999999999</v>
      </c>
      <c r="H41" s="1">
        <v>965</v>
      </c>
      <c r="I41" s="1">
        <v>112</v>
      </c>
      <c r="J41" s="1">
        <v>0.98</v>
      </c>
      <c r="M41" s="1">
        <v>35</v>
      </c>
      <c r="N41" s="1">
        <f>0.007/2</f>
        <v>3.5000000000000001E-3</v>
      </c>
      <c r="O41" s="1">
        <v>1.3</v>
      </c>
      <c r="P41" s="1">
        <v>11.89</v>
      </c>
      <c r="Q41" s="1">
        <v>9.17</v>
      </c>
      <c r="R41" s="1">
        <v>7.1613680022349753</v>
      </c>
      <c r="S41" s="1" t="s">
        <v>144</v>
      </c>
      <c r="T41" s="1">
        <v>6.0107238653917729</v>
      </c>
      <c r="V41" s="1">
        <v>7.4</v>
      </c>
    </row>
    <row r="42" spans="1:22" x14ac:dyDescent="0.25">
      <c r="A42" s="11" t="s">
        <v>130</v>
      </c>
      <c r="B42" s="1" t="s">
        <v>40</v>
      </c>
      <c r="C42" s="3">
        <v>-72.815402777777777</v>
      </c>
      <c r="D42" s="3">
        <v>5.8669305555555562</v>
      </c>
      <c r="E42" s="1">
        <v>115.06891577140397</v>
      </c>
      <c r="F42" s="5">
        <f>0.81/1000</f>
        <v>8.1000000000000006E-4</v>
      </c>
      <c r="G42" s="4">
        <f>+AVERAGE(16.8,20.6)</f>
        <v>18.700000000000003</v>
      </c>
      <c r="H42" s="4">
        <v>50</v>
      </c>
      <c r="I42" s="4">
        <v>2.5</v>
      </c>
      <c r="J42" s="4"/>
      <c r="K42" s="4">
        <v>2.5</v>
      </c>
      <c r="L42" s="4"/>
      <c r="M42" s="4"/>
      <c r="N42" s="4"/>
      <c r="O42" s="4"/>
      <c r="P42" s="4"/>
      <c r="Q42" s="4"/>
      <c r="R42" s="4">
        <v>1.3961993470957363</v>
      </c>
      <c r="S42" s="4" t="s">
        <v>144</v>
      </c>
      <c r="T42" s="4" t="s">
        <v>144</v>
      </c>
      <c r="U42" s="4"/>
      <c r="V42" s="4">
        <f>+AVERAGE(6,9)</f>
        <v>7.5</v>
      </c>
    </row>
    <row r="43" spans="1:22" x14ac:dyDescent="0.25">
      <c r="A43" s="2" t="s">
        <v>76</v>
      </c>
      <c r="B43" s="1" t="s">
        <v>40</v>
      </c>
      <c r="C43" s="3">
        <v>-72.815227499999992</v>
      </c>
      <c r="D43" s="3">
        <v>5.892675555555555</v>
      </c>
      <c r="E43" s="1">
        <v>111.08385793436398</v>
      </c>
      <c r="F43" s="5">
        <v>2.15E-3</v>
      </c>
      <c r="G43" s="1">
        <v>17.399999999999999</v>
      </c>
      <c r="H43" s="1">
        <v>119.5</v>
      </c>
      <c r="I43" s="1">
        <v>1550</v>
      </c>
      <c r="J43" s="1">
        <v>5.24</v>
      </c>
      <c r="K43" s="1">
        <v>0.02</v>
      </c>
      <c r="M43" s="1">
        <v>0.94</v>
      </c>
      <c r="N43" s="1">
        <v>3.5000000000000001E-3</v>
      </c>
      <c r="O43" s="1">
        <v>5.0000000000000001E-3</v>
      </c>
      <c r="P43" s="1">
        <v>1.4999999999999999E-2</v>
      </c>
      <c r="R43" s="1" t="s">
        <v>144</v>
      </c>
      <c r="S43" s="1" t="s">
        <v>144</v>
      </c>
      <c r="T43" s="1" t="s">
        <v>144</v>
      </c>
      <c r="U43" s="1">
        <v>27</v>
      </c>
      <c r="V43" s="1">
        <v>8.02</v>
      </c>
    </row>
    <row r="44" spans="1:22" x14ac:dyDescent="0.25">
      <c r="A44" s="2" t="s">
        <v>78</v>
      </c>
      <c r="B44" s="1" t="s">
        <v>40</v>
      </c>
      <c r="C44" s="3">
        <v>-72.745611111111117</v>
      </c>
      <c r="D44" s="3">
        <v>5.9856388888888894</v>
      </c>
      <c r="E44" s="1">
        <v>94.773262910663988</v>
      </c>
      <c r="F44" s="5">
        <v>1.018E-2</v>
      </c>
      <c r="G44" s="1">
        <v>20.053000000000001</v>
      </c>
      <c r="H44" s="1">
        <v>549.14</v>
      </c>
      <c r="I44" s="1">
        <v>122.5</v>
      </c>
      <c r="J44" s="1">
        <v>2.4</v>
      </c>
      <c r="K44" s="1">
        <v>209</v>
      </c>
      <c r="L44" s="1">
        <v>31.8</v>
      </c>
      <c r="M44" s="1">
        <v>9.2799999999999994</v>
      </c>
      <c r="N44" s="1">
        <v>1.77</v>
      </c>
      <c r="O44" s="1">
        <v>0.03</v>
      </c>
      <c r="P44" s="1">
        <v>4.4000000000000004</v>
      </c>
      <c r="Q44" s="1">
        <v>3.65</v>
      </c>
      <c r="R44" s="1">
        <v>5.3837435758353127</v>
      </c>
      <c r="S44" s="1" t="s">
        <v>144</v>
      </c>
      <c r="T44" s="1">
        <v>5.1503265364987074</v>
      </c>
      <c r="U44" s="1">
        <v>41.9</v>
      </c>
      <c r="V44" s="1">
        <v>7.7</v>
      </c>
    </row>
    <row r="45" spans="1:22" x14ac:dyDescent="0.25">
      <c r="A45" s="2" t="s">
        <v>77</v>
      </c>
      <c r="B45" s="1" t="s">
        <v>40</v>
      </c>
      <c r="C45" s="12">
        <v>-72.740655555555563</v>
      </c>
      <c r="D45" s="3">
        <v>5.9886305555555559</v>
      </c>
      <c r="E45" s="1">
        <v>94.060384656299988</v>
      </c>
      <c r="F45" s="5">
        <v>1.1100000000000001E-3</v>
      </c>
      <c r="G45" s="1">
        <v>15</v>
      </c>
      <c r="H45" s="1">
        <v>762</v>
      </c>
      <c r="I45" s="1">
        <v>29</v>
      </c>
      <c r="K45" s="1">
        <v>24</v>
      </c>
      <c r="L45" s="1">
        <v>38.448</v>
      </c>
      <c r="M45" s="1">
        <v>27.66</v>
      </c>
      <c r="N45" s="1">
        <v>0.20200000000000001</v>
      </c>
      <c r="O45" s="1">
        <v>1.2</v>
      </c>
      <c r="P45" s="1">
        <v>3.15</v>
      </c>
      <c r="Q45" s="1">
        <v>3.052</v>
      </c>
      <c r="R45" s="1" t="s">
        <v>144</v>
      </c>
      <c r="S45" s="1" t="s">
        <v>144</v>
      </c>
      <c r="T45" s="1" t="s">
        <v>144</v>
      </c>
      <c r="V45" s="1">
        <v>7.99</v>
      </c>
    </row>
    <row r="46" spans="1:22" x14ac:dyDescent="0.25">
      <c r="A46" s="2" t="s">
        <v>77</v>
      </c>
      <c r="B46" s="1" t="s">
        <v>40</v>
      </c>
      <c r="C46" s="4">
        <v>-72.696749999999994</v>
      </c>
      <c r="D46" s="4">
        <v>6.0234722219999997</v>
      </c>
      <c r="E46" s="1">
        <v>94.050384656299997</v>
      </c>
      <c r="F46" s="5">
        <v>2.8899999999999998E-4</v>
      </c>
      <c r="G46" s="1">
        <v>15</v>
      </c>
      <c r="H46" s="1">
        <v>868</v>
      </c>
      <c r="I46" s="1">
        <v>110</v>
      </c>
      <c r="K46" s="1">
        <v>71</v>
      </c>
      <c r="M46" s="1">
        <v>39.42</v>
      </c>
      <c r="N46" s="1">
        <v>0.01</v>
      </c>
      <c r="O46" s="1">
        <v>0.17</v>
      </c>
      <c r="P46" s="1">
        <v>4.22</v>
      </c>
      <c r="Q46" s="1">
        <v>3.39</v>
      </c>
      <c r="V46" s="1">
        <v>7.7</v>
      </c>
    </row>
    <row r="47" spans="1:22" x14ac:dyDescent="0.25">
      <c r="A47" s="2" t="s">
        <v>77</v>
      </c>
      <c r="B47" s="1" t="s">
        <v>40</v>
      </c>
      <c r="C47" s="4">
        <v>-72.740547219999996</v>
      </c>
      <c r="D47" s="4">
        <v>5.9888716666699997</v>
      </c>
      <c r="E47" s="1">
        <v>94.052384656300006</v>
      </c>
      <c r="F47" s="5">
        <v>1.9000000000000001E-4</v>
      </c>
      <c r="G47" s="1">
        <v>15</v>
      </c>
      <c r="H47" s="1">
        <v>868</v>
      </c>
      <c r="I47" s="1">
        <v>110</v>
      </c>
      <c r="K47" s="1">
        <v>71</v>
      </c>
      <c r="M47" s="1">
        <v>39.42</v>
      </c>
      <c r="N47" s="1">
        <v>0.01</v>
      </c>
      <c r="O47" s="1">
        <v>0.17</v>
      </c>
      <c r="P47" s="1">
        <v>4.22</v>
      </c>
      <c r="Q47" s="1">
        <v>3.39</v>
      </c>
      <c r="V47" s="1">
        <v>7.7</v>
      </c>
    </row>
    <row r="48" spans="1:22" x14ac:dyDescent="0.25">
      <c r="A48" s="2" t="s">
        <v>203</v>
      </c>
      <c r="B48" s="1" t="s">
        <v>40</v>
      </c>
      <c r="C48" s="12">
        <v>-72.746051109999996</v>
      </c>
      <c r="D48" s="3">
        <v>5.9873113890000003</v>
      </c>
      <c r="E48" s="1">
        <v>94.052138465629994</v>
      </c>
      <c r="F48" s="5">
        <v>4.2699999999999997E-4</v>
      </c>
      <c r="G48" s="1">
        <v>15</v>
      </c>
      <c r="H48" s="1">
        <v>868</v>
      </c>
      <c r="I48" s="1">
        <v>110</v>
      </c>
      <c r="K48" s="1">
        <v>71</v>
      </c>
      <c r="M48" s="1">
        <v>39.42</v>
      </c>
      <c r="N48" s="1">
        <v>0.01</v>
      </c>
      <c r="O48" s="1">
        <v>0.17</v>
      </c>
      <c r="P48" s="1">
        <v>4.22</v>
      </c>
      <c r="Q48" s="1">
        <v>3.39</v>
      </c>
      <c r="V48" s="1">
        <v>7.7</v>
      </c>
    </row>
    <row r="49" spans="1:20" x14ac:dyDescent="0.25">
      <c r="A49" s="13" t="s">
        <v>117</v>
      </c>
      <c r="B49" s="1" t="s">
        <v>41</v>
      </c>
      <c r="C49" s="3">
        <v>-73.348710999999994</v>
      </c>
      <c r="D49" s="3">
        <v>5.5568330000000001</v>
      </c>
      <c r="E49" s="1">
        <v>232.65672643436176</v>
      </c>
      <c r="F49" s="14">
        <v>2.0000000000000001E-4</v>
      </c>
      <c r="R49" s="1" t="s">
        <v>144</v>
      </c>
      <c r="S49" s="1" t="s">
        <v>144</v>
      </c>
      <c r="T49" s="1" t="s">
        <v>144</v>
      </c>
    </row>
    <row r="50" spans="1:20" x14ac:dyDescent="0.25">
      <c r="A50" s="13" t="s">
        <v>121</v>
      </c>
      <c r="B50" s="1" t="s">
        <v>41</v>
      </c>
      <c r="C50" s="3">
        <v>-73.322193999999996</v>
      </c>
      <c r="D50" s="3">
        <v>5.5827220000000004</v>
      </c>
      <c r="E50" s="1">
        <v>227.96299340175176</v>
      </c>
      <c r="F50" s="14">
        <v>2.9999999999999997E-4</v>
      </c>
      <c r="R50" s="1" t="s">
        <v>144</v>
      </c>
      <c r="S50" s="1" t="s">
        <v>144</v>
      </c>
      <c r="T50" s="1" t="s">
        <v>144</v>
      </c>
    </row>
    <row r="51" spans="1:20" x14ac:dyDescent="0.25">
      <c r="A51" s="13" t="s">
        <v>103</v>
      </c>
      <c r="B51" s="1" t="s">
        <v>41</v>
      </c>
      <c r="C51" s="3">
        <v>-73.320306000000002</v>
      </c>
      <c r="D51" s="3">
        <v>5.5858610000000004</v>
      </c>
      <c r="E51" s="1">
        <v>227.45681458093878</v>
      </c>
      <c r="F51" s="14">
        <v>7.1999999999999994E-4</v>
      </c>
      <c r="H51" s="5"/>
      <c r="R51" s="1" t="s">
        <v>144</v>
      </c>
      <c r="S51" s="1" t="s">
        <v>144</v>
      </c>
      <c r="T51" s="1" t="s">
        <v>144</v>
      </c>
    </row>
    <row r="52" spans="1:20" x14ac:dyDescent="0.25">
      <c r="A52" s="13" t="s">
        <v>92</v>
      </c>
      <c r="B52" s="1" t="s">
        <v>41</v>
      </c>
      <c r="C52" s="3">
        <v>-73.318250000000006</v>
      </c>
      <c r="D52" s="3">
        <v>5.5886940000000003</v>
      </c>
      <c r="E52" s="1">
        <v>226.98614372433477</v>
      </c>
      <c r="F52" s="14">
        <v>8.0000000000000002E-3</v>
      </c>
      <c r="H52" s="5"/>
      <c r="R52" s="1" t="s">
        <v>144</v>
      </c>
      <c r="S52" s="1" t="s">
        <v>144</v>
      </c>
      <c r="T52" s="1" t="s">
        <v>144</v>
      </c>
    </row>
    <row r="53" spans="1:20" x14ac:dyDescent="0.25">
      <c r="A53" s="13" t="s">
        <v>104</v>
      </c>
      <c r="B53" s="1" t="s">
        <v>41</v>
      </c>
      <c r="C53" s="3">
        <v>-73.301028000000002</v>
      </c>
      <c r="D53" s="3">
        <v>5.6145560000000003</v>
      </c>
      <c r="E53" s="1">
        <v>222.86159490145477</v>
      </c>
      <c r="F53" s="14">
        <v>2.7500000000000002E-4</v>
      </c>
      <c r="H53" s="5"/>
      <c r="R53" s="1" t="s">
        <v>144</v>
      </c>
      <c r="S53" s="1" t="s">
        <v>144</v>
      </c>
      <c r="T53" s="1" t="s">
        <v>144</v>
      </c>
    </row>
    <row r="54" spans="1:20" x14ac:dyDescent="0.25">
      <c r="A54" s="13" t="s">
        <v>55</v>
      </c>
      <c r="B54" s="1" t="s">
        <v>41</v>
      </c>
      <c r="C54" s="3">
        <v>-73.210832999999994</v>
      </c>
      <c r="D54" s="3">
        <v>5.7318059999999997</v>
      </c>
      <c r="E54" s="1">
        <v>192.73509569565476</v>
      </c>
      <c r="F54" s="14">
        <v>1.25E-3</v>
      </c>
      <c r="R54" s="1" t="s">
        <v>144</v>
      </c>
      <c r="S54" s="1" t="s">
        <v>144</v>
      </c>
      <c r="T54" s="1" t="s">
        <v>144</v>
      </c>
    </row>
    <row r="55" spans="1:20" x14ac:dyDescent="0.25">
      <c r="A55" s="13" t="s">
        <v>116</v>
      </c>
      <c r="B55" s="1" t="s">
        <v>41</v>
      </c>
      <c r="C55" s="3">
        <v>-73.205360999999996</v>
      </c>
      <c r="D55" s="3">
        <v>5.7302780000000002</v>
      </c>
      <c r="E55" s="1">
        <v>191.97687183679278</v>
      </c>
      <c r="F55" s="14">
        <v>2.6000000000000003E-4</v>
      </c>
      <c r="R55" s="1" t="s">
        <v>144</v>
      </c>
      <c r="S55" s="1" t="s">
        <v>144</v>
      </c>
      <c r="T55" s="1" t="s">
        <v>144</v>
      </c>
    </row>
    <row r="56" spans="1:20" x14ac:dyDescent="0.25">
      <c r="A56" s="13" t="s">
        <v>90</v>
      </c>
      <c r="B56" s="1" t="s">
        <v>41</v>
      </c>
      <c r="C56" s="3">
        <v>-73.202472</v>
      </c>
      <c r="D56" s="3">
        <v>5.7341110000000004</v>
      </c>
      <c r="E56" s="1">
        <v>191.34069444624677</v>
      </c>
      <c r="F56" s="14">
        <v>1E-3</v>
      </c>
      <c r="R56" s="1" t="s">
        <v>144</v>
      </c>
      <c r="S56" s="1" t="s">
        <v>144</v>
      </c>
      <c r="T56" s="1" t="s">
        <v>144</v>
      </c>
    </row>
    <row r="57" spans="1:20" x14ac:dyDescent="0.25">
      <c r="A57" s="13" t="s">
        <v>110</v>
      </c>
      <c r="B57" s="1" t="s">
        <v>41</v>
      </c>
      <c r="C57" s="3">
        <v>-73.181471999999999</v>
      </c>
      <c r="D57" s="3">
        <v>5.7426110000000001</v>
      </c>
      <c r="E57" s="1">
        <v>186.89601597488678</v>
      </c>
      <c r="F57" s="14">
        <v>1.9499999999999999E-3</v>
      </c>
      <c r="R57" s="1" t="s">
        <v>144</v>
      </c>
      <c r="S57" s="1" t="s">
        <v>144</v>
      </c>
      <c r="T57" s="1" t="s">
        <v>144</v>
      </c>
    </row>
    <row r="58" spans="1:20" x14ac:dyDescent="0.25">
      <c r="A58" s="13" t="s">
        <v>100</v>
      </c>
      <c r="B58" s="1" t="s">
        <v>41</v>
      </c>
      <c r="C58" s="3">
        <v>-73.174516999999994</v>
      </c>
      <c r="D58" s="3">
        <v>5.7420359999999997</v>
      </c>
      <c r="E58" s="1">
        <v>185.27555334681676</v>
      </c>
      <c r="F58" s="14">
        <v>3.2000000000000003E-4</v>
      </c>
      <c r="R58" s="1" t="s">
        <v>144</v>
      </c>
      <c r="S58" s="1" t="s">
        <v>144</v>
      </c>
      <c r="T58" s="1" t="s">
        <v>144</v>
      </c>
    </row>
    <row r="59" spans="1:20" x14ac:dyDescent="0.25">
      <c r="A59" s="13" t="s">
        <v>84</v>
      </c>
      <c r="B59" s="1" t="s">
        <v>41</v>
      </c>
      <c r="C59" s="3">
        <v>-73.174471999999994</v>
      </c>
      <c r="D59" s="3">
        <v>5.7420559999999998</v>
      </c>
      <c r="E59" s="1">
        <v>185.26597692434811</v>
      </c>
      <c r="F59" s="14">
        <v>1.7800000000000001E-3</v>
      </c>
      <c r="R59" s="1" t="s">
        <v>144</v>
      </c>
      <c r="S59" s="1" t="s">
        <v>144</v>
      </c>
      <c r="T59" s="1" t="s">
        <v>144</v>
      </c>
    </row>
    <row r="60" spans="1:20" x14ac:dyDescent="0.25">
      <c r="A60" s="13" t="s">
        <v>99</v>
      </c>
      <c r="B60" s="1" t="s">
        <v>41</v>
      </c>
      <c r="C60" s="3">
        <v>-73.170332999999999</v>
      </c>
      <c r="D60" s="3">
        <v>5.7497780000000001</v>
      </c>
      <c r="E60" s="1">
        <v>184.0791685147681</v>
      </c>
      <c r="F60" s="14">
        <v>8.8000000000000003E-4</v>
      </c>
      <c r="R60" s="1" t="s">
        <v>144</v>
      </c>
      <c r="S60" s="1" t="s">
        <v>144</v>
      </c>
      <c r="T60" s="1" t="s">
        <v>144</v>
      </c>
    </row>
    <row r="61" spans="1:20" x14ac:dyDescent="0.25">
      <c r="A61" s="13" t="s">
        <v>120</v>
      </c>
      <c r="B61" s="1" t="s">
        <v>41</v>
      </c>
      <c r="C61" s="3">
        <v>-73.161303000000004</v>
      </c>
      <c r="D61" s="3">
        <v>5.7583080000000004</v>
      </c>
      <c r="E61" s="1">
        <v>181.8731727941981</v>
      </c>
      <c r="F61" s="14">
        <v>4.0999999999999999E-4</v>
      </c>
      <c r="R61" s="1" t="s">
        <v>144</v>
      </c>
      <c r="S61" s="1" t="s">
        <v>144</v>
      </c>
      <c r="T61" s="1" t="s">
        <v>144</v>
      </c>
    </row>
    <row r="62" spans="1:20" x14ac:dyDescent="0.25">
      <c r="A62" s="11" t="s">
        <v>158</v>
      </c>
      <c r="B62" s="1" t="s">
        <v>41</v>
      </c>
      <c r="C62" s="4">
        <v>-73.15347777777778</v>
      </c>
      <c r="D62" s="4">
        <v>5.7648611111111112</v>
      </c>
      <c r="E62" s="1">
        <v>180.59240593408811</v>
      </c>
      <c r="F62" s="14">
        <v>1.6999999999999999E-3</v>
      </c>
      <c r="H62" s="14"/>
    </row>
    <row r="63" spans="1:20" x14ac:dyDescent="0.25">
      <c r="A63" s="11" t="s">
        <v>159</v>
      </c>
      <c r="B63" s="1" t="s">
        <v>41</v>
      </c>
      <c r="C63" s="4">
        <v>-73.146863888888902</v>
      </c>
      <c r="D63" s="4">
        <v>5.7663222222222226</v>
      </c>
      <c r="E63" s="1">
        <v>180.0026201316781</v>
      </c>
      <c r="F63" s="14">
        <v>5.6999999999999998E-4</v>
      </c>
      <c r="H63" s="14"/>
    </row>
    <row r="64" spans="1:20" x14ac:dyDescent="0.25">
      <c r="A64" s="11" t="s">
        <v>160</v>
      </c>
      <c r="B64" s="1" t="s">
        <v>41</v>
      </c>
      <c r="C64" s="4">
        <v>-73.1474388888889</v>
      </c>
      <c r="D64" s="4">
        <v>5.7663500000000001</v>
      </c>
      <c r="E64" s="1">
        <v>179.86404533373411</v>
      </c>
      <c r="F64" s="14">
        <v>3.8000000000000002E-5</v>
      </c>
      <c r="H64" s="14"/>
    </row>
    <row r="65" spans="1:20" x14ac:dyDescent="0.25">
      <c r="A65" s="11" t="s">
        <v>161</v>
      </c>
      <c r="B65" s="1" t="s">
        <v>41</v>
      </c>
      <c r="C65" s="4">
        <v>-73.147210999999999</v>
      </c>
      <c r="D65" s="4">
        <v>5.7662979999999999</v>
      </c>
      <c r="E65" s="1">
        <v>179.83844697770832</v>
      </c>
      <c r="F65" s="14">
        <v>1.9999999999999999E-6</v>
      </c>
      <c r="H65" s="14"/>
    </row>
    <row r="66" spans="1:20" x14ac:dyDescent="0.25">
      <c r="A66" s="11" t="s">
        <v>162</v>
      </c>
      <c r="B66" s="1" t="s">
        <v>41</v>
      </c>
      <c r="C66" s="4">
        <v>-73.148650000000004</v>
      </c>
      <c r="D66" s="4">
        <v>5.7668722222222222</v>
      </c>
      <c r="E66" s="1">
        <v>179.79917587818062</v>
      </c>
      <c r="F66" s="14">
        <v>1.25E-4</v>
      </c>
      <c r="H66" s="14"/>
    </row>
    <row r="67" spans="1:20" x14ac:dyDescent="0.25">
      <c r="A67" s="13" t="s">
        <v>111</v>
      </c>
      <c r="B67" s="1" t="s">
        <v>41</v>
      </c>
      <c r="C67" s="3">
        <v>-73.145228000000003</v>
      </c>
      <c r="D67" s="3">
        <v>5.7669030000000001</v>
      </c>
      <c r="E67" s="1">
        <v>179.56255433443562</v>
      </c>
      <c r="F67" s="14">
        <v>1.73E-3</v>
      </c>
      <c r="H67" s="14"/>
      <c r="J67" s="14"/>
      <c r="R67" s="1" t="s">
        <v>144</v>
      </c>
      <c r="S67" s="1" t="s">
        <v>144</v>
      </c>
      <c r="T67" s="1" t="s">
        <v>144</v>
      </c>
    </row>
    <row r="68" spans="1:20" x14ac:dyDescent="0.25">
      <c r="A68" s="11" t="s">
        <v>163</v>
      </c>
      <c r="B68" s="1" t="s">
        <v>41</v>
      </c>
      <c r="C68" s="4">
        <v>-73.137158333333346</v>
      </c>
      <c r="D68" s="4">
        <v>5.7715111111111108</v>
      </c>
      <c r="E68" s="1">
        <v>178.53089348642561</v>
      </c>
      <c r="F68" s="14">
        <v>7.6999999999999999E-2</v>
      </c>
      <c r="H68" s="14"/>
    </row>
    <row r="69" spans="1:20" x14ac:dyDescent="0.25">
      <c r="A69" s="11" t="s">
        <v>164</v>
      </c>
      <c r="B69" s="1" t="s">
        <v>41</v>
      </c>
      <c r="C69" s="4">
        <v>-73.136795000000006</v>
      </c>
      <c r="D69" s="4">
        <v>5.771579</v>
      </c>
      <c r="E69" s="1">
        <v>178.48847369453648</v>
      </c>
      <c r="F69" s="14">
        <v>1.9</v>
      </c>
      <c r="H69" s="14"/>
    </row>
    <row r="70" spans="1:20" x14ac:dyDescent="0.25">
      <c r="A70" s="13" t="s">
        <v>98</v>
      </c>
      <c r="B70" s="1" t="s">
        <v>41</v>
      </c>
      <c r="C70" s="3">
        <v>-73.133360999999994</v>
      </c>
      <c r="D70" s="3">
        <v>5.7734940000000003</v>
      </c>
      <c r="E70" s="1">
        <v>178.02441078492649</v>
      </c>
      <c r="F70" s="14">
        <v>1.371E-3</v>
      </c>
      <c r="R70" s="1" t="s">
        <v>144</v>
      </c>
      <c r="S70" s="1" t="s">
        <v>144</v>
      </c>
      <c r="T70" s="1" t="s">
        <v>144</v>
      </c>
    </row>
    <row r="71" spans="1:20" x14ac:dyDescent="0.25">
      <c r="A71" s="13" t="s">
        <v>96</v>
      </c>
      <c r="B71" s="1" t="s">
        <v>41</v>
      </c>
      <c r="C71" s="3">
        <v>-73.119900555555546</v>
      </c>
      <c r="D71" s="3">
        <v>5.7738891666666667</v>
      </c>
      <c r="E71" s="1">
        <v>176.37524936768648</v>
      </c>
      <c r="F71" s="14">
        <v>3.2399999999999998E-2</v>
      </c>
      <c r="R71" s="1" t="s">
        <v>144</v>
      </c>
      <c r="S71" s="1" t="s">
        <v>144</v>
      </c>
      <c r="T71" s="1" t="s">
        <v>144</v>
      </c>
    </row>
    <row r="72" spans="1:20" x14ac:dyDescent="0.25">
      <c r="A72" s="13" t="s">
        <v>96</v>
      </c>
      <c r="B72" s="1" t="s">
        <v>41</v>
      </c>
      <c r="C72" s="3">
        <v>-73.119899999999987</v>
      </c>
      <c r="D72" s="3">
        <v>5.7738888888888891</v>
      </c>
      <c r="E72" s="1">
        <v>176.365249367686</v>
      </c>
      <c r="F72" s="14">
        <v>1.3960000000000001E-4</v>
      </c>
    </row>
    <row r="73" spans="1:20" x14ac:dyDescent="0.25">
      <c r="A73" s="13" t="s">
        <v>96</v>
      </c>
      <c r="B73" s="1" t="s">
        <v>41</v>
      </c>
      <c r="C73" s="3">
        <v>-73.112116666666665</v>
      </c>
      <c r="D73" s="3">
        <v>5.8359527777777771</v>
      </c>
      <c r="E73" s="1">
        <v>176.364249367686</v>
      </c>
      <c r="F73" s="14">
        <v>7.8849999999999996E-3</v>
      </c>
    </row>
    <row r="74" spans="1:20" x14ac:dyDescent="0.25">
      <c r="A74" s="13" t="s">
        <v>96</v>
      </c>
      <c r="B74" s="1" t="s">
        <v>41</v>
      </c>
      <c r="C74" s="3">
        <v>-73.115827787011099</v>
      </c>
      <c r="D74" s="3">
        <v>5.8260000076583331</v>
      </c>
      <c r="E74" s="1">
        <v>176.363249367686</v>
      </c>
      <c r="F74" s="14">
        <v>7.8849999999999996E-3</v>
      </c>
      <c r="G74" s="14"/>
    </row>
    <row r="75" spans="1:20" x14ac:dyDescent="0.25">
      <c r="A75" s="13" t="s">
        <v>115</v>
      </c>
      <c r="B75" s="1" t="s">
        <v>41</v>
      </c>
      <c r="C75" s="3">
        <v>-73.118553000000006</v>
      </c>
      <c r="D75" s="3">
        <v>5.7743029999999997</v>
      </c>
      <c r="E75" s="1">
        <v>176.22804139341048</v>
      </c>
      <c r="F75" s="14">
        <v>2.1800000000000001E-3</v>
      </c>
      <c r="R75" s="1" t="s">
        <v>144</v>
      </c>
      <c r="S75" s="1" t="s">
        <v>144</v>
      </c>
      <c r="T75" s="1" t="s">
        <v>144</v>
      </c>
    </row>
    <row r="76" spans="1:20" x14ac:dyDescent="0.25">
      <c r="A76" s="13" t="s">
        <v>87</v>
      </c>
      <c r="B76" s="1" t="s">
        <v>41</v>
      </c>
      <c r="C76" s="3">
        <v>-73.116667000000007</v>
      </c>
      <c r="D76" s="3">
        <v>5.7751939999999999</v>
      </c>
      <c r="E76" s="1">
        <v>175.9738375049655</v>
      </c>
      <c r="F76" s="14">
        <v>1.1000000000000001E-3</v>
      </c>
      <c r="R76" s="1" t="s">
        <v>144</v>
      </c>
      <c r="S76" s="1" t="s">
        <v>144</v>
      </c>
      <c r="T76" s="1" t="s">
        <v>144</v>
      </c>
    </row>
    <row r="77" spans="1:20" x14ac:dyDescent="0.25">
      <c r="A77" s="11" t="s">
        <v>147</v>
      </c>
      <c r="B77" s="1" t="s">
        <v>41</v>
      </c>
      <c r="C77" s="3">
        <v>-73.085099999999997</v>
      </c>
      <c r="D77" s="3">
        <v>5.7686555555555552</v>
      </c>
      <c r="E77" s="1">
        <v>170.2306597936855</v>
      </c>
      <c r="F77" s="14">
        <v>2.5200849822425164E-2</v>
      </c>
    </row>
    <row r="78" spans="1:20" x14ac:dyDescent="0.25">
      <c r="A78" s="11" t="s">
        <v>148</v>
      </c>
      <c r="B78" s="1" t="s">
        <v>41</v>
      </c>
      <c r="C78" s="3">
        <v>-73.069030555555557</v>
      </c>
      <c r="D78" s="3">
        <v>5.7733277777777774</v>
      </c>
      <c r="E78" s="1">
        <v>168.06926599027548</v>
      </c>
      <c r="F78" s="14">
        <v>4.0366343226788434E-2</v>
      </c>
    </row>
    <row r="79" spans="1:20" x14ac:dyDescent="0.25">
      <c r="A79" s="11" t="s">
        <v>149</v>
      </c>
      <c r="B79" s="1" t="s">
        <v>41</v>
      </c>
      <c r="C79" s="3">
        <v>-73.068202777777771</v>
      </c>
      <c r="D79" s="3">
        <v>5.7712944444444441</v>
      </c>
      <c r="E79" s="1">
        <v>167.80864979770149</v>
      </c>
      <c r="F79" s="14">
        <v>3.0960140791476409E-2</v>
      </c>
    </row>
    <row r="80" spans="1:20" x14ac:dyDescent="0.25">
      <c r="A80" s="13" t="s">
        <v>80</v>
      </c>
      <c r="B80" s="1" t="s">
        <v>41</v>
      </c>
      <c r="C80" s="3">
        <v>-73.043943999999996</v>
      </c>
      <c r="D80" s="3">
        <v>5.7702499999999999</v>
      </c>
      <c r="E80" s="1">
        <v>163.94822439733147</v>
      </c>
      <c r="F80" s="14">
        <v>6.3070000000000001E-3</v>
      </c>
      <c r="R80" s="1" t="s">
        <v>144</v>
      </c>
      <c r="S80" s="1" t="s">
        <v>144</v>
      </c>
      <c r="T80" s="1" t="s">
        <v>144</v>
      </c>
    </row>
    <row r="81" spans="1:20" x14ac:dyDescent="0.25">
      <c r="A81" s="11" t="s">
        <v>150</v>
      </c>
      <c r="B81" s="1" t="s">
        <v>41</v>
      </c>
      <c r="C81" s="3">
        <v>-73.040591666666671</v>
      </c>
      <c r="D81" s="3">
        <v>5.7758027777777778</v>
      </c>
      <c r="E81" s="1">
        <v>163.02442296841849</v>
      </c>
      <c r="F81" s="14">
        <v>4.5195332318619989E-2</v>
      </c>
    </row>
    <row r="82" spans="1:20" x14ac:dyDescent="0.25">
      <c r="A82" s="13" t="s">
        <v>85</v>
      </c>
      <c r="B82" s="1" t="s">
        <v>41</v>
      </c>
      <c r="C82" s="3">
        <v>-73.039271999999997</v>
      </c>
      <c r="D82" s="3">
        <v>5.7762440000000002</v>
      </c>
      <c r="E82" s="1">
        <v>162.86629608694548</v>
      </c>
      <c r="F82" s="14">
        <v>2.3500000000000001E-3</v>
      </c>
      <c r="R82" s="1" t="s">
        <v>144</v>
      </c>
      <c r="S82" s="1" t="s">
        <v>144</v>
      </c>
      <c r="T82" s="1" t="s">
        <v>144</v>
      </c>
    </row>
    <row r="83" spans="1:20" x14ac:dyDescent="0.25">
      <c r="A83" s="13" t="s">
        <v>113</v>
      </c>
      <c r="B83" s="1" t="s">
        <v>41</v>
      </c>
      <c r="C83" s="3">
        <v>-73.024349999999998</v>
      </c>
      <c r="D83" s="3">
        <v>5.7806139999999999</v>
      </c>
      <c r="E83" s="1">
        <v>160.69641118080548</v>
      </c>
      <c r="F83" s="14">
        <v>1.4999999999999999E-4</v>
      </c>
      <c r="R83" s="1" t="s">
        <v>144</v>
      </c>
      <c r="S83" s="1" t="s">
        <v>144</v>
      </c>
      <c r="T83" s="1" t="s">
        <v>144</v>
      </c>
    </row>
    <row r="84" spans="1:20" x14ac:dyDescent="0.25">
      <c r="A84" s="13" t="s">
        <v>83</v>
      </c>
      <c r="B84" s="1" t="s">
        <v>41</v>
      </c>
      <c r="C84" s="3">
        <v>-73.022000000000006</v>
      </c>
      <c r="D84" s="3">
        <v>5.7848059999999997</v>
      </c>
      <c r="E84" s="1">
        <v>159.99907205632547</v>
      </c>
      <c r="F84" s="14">
        <v>2.5600000000000002E-3</v>
      </c>
      <c r="R84" s="1" t="s">
        <v>144</v>
      </c>
      <c r="S84" s="1" t="s">
        <v>144</v>
      </c>
      <c r="T84" s="1" t="s">
        <v>144</v>
      </c>
    </row>
    <row r="85" spans="1:20" x14ac:dyDescent="0.25">
      <c r="A85" s="13" t="s">
        <v>107</v>
      </c>
      <c r="B85" s="1" t="s">
        <v>41</v>
      </c>
      <c r="C85" s="3">
        <v>-73.021056000000002</v>
      </c>
      <c r="D85" s="3">
        <v>5.7876669999999999</v>
      </c>
      <c r="E85" s="1">
        <v>159.53837191051548</v>
      </c>
      <c r="F85" s="14">
        <v>8.199999999999999E-3</v>
      </c>
      <c r="R85" s="1" t="s">
        <v>144</v>
      </c>
      <c r="S85" s="1" t="s">
        <v>144</v>
      </c>
      <c r="T85" s="1" t="s">
        <v>144</v>
      </c>
    </row>
    <row r="86" spans="1:20" x14ac:dyDescent="0.25">
      <c r="A86" s="11" t="s">
        <v>151</v>
      </c>
      <c r="B86" s="1" t="s">
        <v>41</v>
      </c>
      <c r="C86" s="3">
        <v>-73.018691666666669</v>
      </c>
      <c r="D86" s="3">
        <v>5.7907999999999999</v>
      </c>
      <c r="E86" s="1">
        <v>159.05268296523451</v>
      </c>
      <c r="F86" s="14">
        <v>3.0325849822425165E-2</v>
      </c>
    </row>
    <row r="87" spans="1:20" x14ac:dyDescent="0.25">
      <c r="A87" s="13" t="s">
        <v>102</v>
      </c>
      <c r="B87" s="1" t="s">
        <v>41</v>
      </c>
      <c r="C87" s="3">
        <v>-73.008713999999998</v>
      </c>
      <c r="D87" s="3">
        <v>5.8084860000000003</v>
      </c>
      <c r="E87" s="1">
        <v>155.71401715729451</v>
      </c>
      <c r="F87" s="14">
        <v>2.0000000000000001E-4</v>
      </c>
      <c r="R87" s="1" t="s">
        <v>144</v>
      </c>
      <c r="S87" s="1" t="s">
        <v>144</v>
      </c>
      <c r="T87" s="1" t="s">
        <v>144</v>
      </c>
    </row>
    <row r="88" spans="1:20" x14ac:dyDescent="0.25">
      <c r="A88" s="13" t="s">
        <v>95</v>
      </c>
      <c r="B88" s="1" t="s">
        <v>41</v>
      </c>
      <c r="C88" s="3">
        <v>-73.007221999999999</v>
      </c>
      <c r="D88" s="3">
        <v>5.8077779999999999</v>
      </c>
      <c r="E88" s="1">
        <v>155.53393107622151</v>
      </c>
      <c r="F88" s="14">
        <v>4.947E-2</v>
      </c>
      <c r="R88" s="1" t="s">
        <v>144</v>
      </c>
      <c r="S88" s="1" t="s">
        <v>144</v>
      </c>
      <c r="T88" s="1" t="s">
        <v>144</v>
      </c>
    </row>
    <row r="89" spans="1:20" x14ac:dyDescent="0.25">
      <c r="A89" s="13" t="s">
        <v>118</v>
      </c>
      <c r="B89" s="1" t="s">
        <v>41</v>
      </c>
      <c r="C89" s="3">
        <v>-72.994167000000004</v>
      </c>
      <c r="D89" s="3">
        <v>5.8078060000000002</v>
      </c>
      <c r="E89" s="1">
        <v>153.63771743215148</v>
      </c>
      <c r="F89" s="14">
        <v>3.8999999999999999E-4</v>
      </c>
      <c r="R89" s="1" t="s">
        <v>144</v>
      </c>
      <c r="S89" s="1" t="s">
        <v>144</v>
      </c>
      <c r="T89" s="1" t="s">
        <v>144</v>
      </c>
    </row>
    <row r="90" spans="1:20" x14ac:dyDescent="0.25">
      <c r="A90" s="11" t="s">
        <v>152</v>
      </c>
      <c r="B90" s="1" t="s">
        <v>41</v>
      </c>
      <c r="C90" s="3">
        <v>-72.993572222222227</v>
      </c>
      <c r="D90" s="3">
        <v>5.8073999999999995</v>
      </c>
      <c r="E90" s="1">
        <v>153.56772307241698</v>
      </c>
      <c r="F90" s="14">
        <v>2.6240296803652967E-2</v>
      </c>
    </row>
    <row r="91" spans="1:20" x14ac:dyDescent="0.25">
      <c r="A91" s="13" t="s">
        <v>93</v>
      </c>
      <c r="B91" s="1" t="s">
        <v>41</v>
      </c>
      <c r="C91" s="3">
        <v>-72.989333000000002</v>
      </c>
      <c r="D91" s="3">
        <v>5.7927220000000004</v>
      </c>
      <c r="E91" s="1">
        <v>151.301318343627</v>
      </c>
      <c r="F91" s="14">
        <v>4.7000000000000002E-3</v>
      </c>
      <c r="R91" s="1" t="s">
        <v>144</v>
      </c>
      <c r="S91" s="1" t="s">
        <v>144</v>
      </c>
      <c r="T91" s="1" t="s">
        <v>144</v>
      </c>
    </row>
    <row r="92" spans="1:20" x14ac:dyDescent="0.25">
      <c r="A92" s="11" t="s">
        <v>153</v>
      </c>
      <c r="B92" s="1" t="s">
        <v>41</v>
      </c>
      <c r="C92" s="3">
        <v>-72.989122222222221</v>
      </c>
      <c r="D92" s="3">
        <v>5.7907999999999999</v>
      </c>
      <c r="E92" s="1">
        <v>151.08421822386998</v>
      </c>
      <c r="F92" s="14">
        <v>2.4139998731608322E-2</v>
      </c>
    </row>
    <row r="93" spans="1:20" x14ac:dyDescent="0.25">
      <c r="A93" s="11" t="s">
        <v>154</v>
      </c>
      <c r="B93" s="1" t="s">
        <v>41</v>
      </c>
      <c r="C93" s="3">
        <v>-72.986263888888885</v>
      </c>
      <c r="D93" s="3">
        <v>5.7878499999999997</v>
      </c>
      <c r="E93" s="1">
        <v>150.53471255907399</v>
      </c>
      <c r="F93" s="14">
        <v>3.3767345256215116E-2</v>
      </c>
    </row>
    <row r="94" spans="1:20" x14ac:dyDescent="0.25">
      <c r="A94" s="11" t="s">
        <v>155</v>
      </c>
      <c r="B94" s="1" t="s">
        <v>41</v>
      </c>
      <c r="C94" s="3">
        <v>-72.975086111111111</v>
      </c>
      <c r="D94" s="3">
        <v>5.7724000000000002</v>
      </c>
      <c r="E94" s="1">
        <v>148.07908324539397</v>
      </c>
      <c r="F94" s="14">
        <v>2.8551623541349568E-2</v>
      </c>
    </row>
    <row r="95" spans="1:20" x14ac:dyDescent="0.25">
      <c r="A95" s="11" t="s">
        <v>156</v>
      </c>
      <c r="B95" s="1" t="s">
        <v>41</v>
      </c>
      <c r="C95" s="3">
        <v>-72.969411111111114</v>
      </c>
      <c r="D95" s="3">
        <v>5.7536638888888891</v>
      </c>
      <c r="E95" s="1">
        <v>145.54858786575397</v>
      </c>
      <c r="F95" s="14">
        <v>3.4122907153729072E-2</v>
      </c>
    </row>
    <row r="96" spans="1:20" x14ac:dyDescent="0.25">
      <c r="A96" s="13" t="s">
        <v>82</v>
      </c>
      <c r="B96" s="1" t="s">
        <v>41</v>
      </c>
      <c r="C96" s="3">
        <v>-72.968478000000005</v>
      </c>
      <c r="D96" s="3">
        <v>5.753819</v>
      </c>
      <c r="E96" s="1">
        <v>145.44370676073999</v>
      </c>
      <c r="F96" s="14">
        <v>2.0499999999999997E-3</v>
      </c>
      <c r="R96" s="1" t="s">
        <v>144</v>
      </c>
      <c r="S96" s="1" t="s">
        <v>144</v>
      </c>
      <c r="T96" s="1" t="s">
        <v>144</v>
      </c>
    </row>
    <row r="97" spans="1:20" x14ac:dyDescent="0.25">
      <c r="A97" s="13" t="s">
        <v>119</v>
      </c>
      <c r="B97" s="1" t="s">
        <v>41</v>
      </c>
      <c r="C97" s="3">
        <v>-72.961858000000007</v>
      </c>
      <c r="D97" s="3">
        <v>5.7497809999999996</v>
      </c>
      <c r="E97" s="1">
        <v>144.28850265373001</v>
      </c>
      <c r="F97" s="14">
        <v>1.9185000000000001E-3</v>
      </c>
      <c r="R97" s="1" t="s">
        <v>144</v>
      </c>
      <c r="S97" s="1" t="s">
        <v>144</v>
      </c>
      <c r="T97" s="1" t="s">
        <v>144</v>
      </c>
    </row>
    <row r="98" spans="1:20" x14ac:dyDescent="0.25">
      <c r="A98" s="13" t="s">
        <v>89</v>
      </c>
      <c r="B98" s="1" t="s">
        <v>41</v>
      </c>
      <c r="C98" s="3">
        <v>-72.954806000000005</v>
      </c>
      <c r="D98" s="3">
        <v>5.7442780000000004</v>
      </c>
      <c r="E98" s="1">
        <v>143.17982474030998</v>
      </c>
      <c r="F98" s="14">
        <v>5.0000000000000001E-4</v>
      </c>
      <c r="R98" s="1" t="s">
        <v>144</v>
      </c>
      <c r="S98" s="1" t="s">
        <v>144</v>
      </c>
      <c r="T98" s="1" t="s">
        <v>144</v>
      </c>
    </row>
    <row r="99" spans="1:20" x14ac:dyDescent="0.25">
      <c r="A99" s="11" t="s">
        <v>157</v>
      </c>
      <c r="B99" s="1" t="s">
        <v>41</v>
      </c>
      <c r="C99" s="3">
        <v>-72.948219444444447</v>
      </c>
      <c r="D99" s="3">
        <v>5.745886111111111</v>
      </c>
      <c r="E99" s="1">
        <v>141.84957349134999</v>
      </c>
      <c r="F99" s="14">
        <v>1.5731608320649418E-2</v>
      </c>
    </row>
    <row r="100" spans="1:20" ht="27.6" x14ac:dyDescent="0.3">
      <c r="A100" s="13" t="s">
        <v>101</v>
      </c>
      <c r="B100" s="1" t="s">
        <v>41</v>
      </c>
      <c r="C100" s="20">
        <v>-72.944749999999999</v>
      </c>
      <c r="D100" s="20">
        <v>5.7494360000000002</v>
      </c>
      <c r="E100" s="1">
        <v>141.102744993231</v>
      </c>
      <c r="F100" s="14">
        <v>6.7000000000000002E-4</v>
      </c>
      <c r="R100" s="1" t="s">
        <v>144</v>
      </c>
      <c r="S100" s="1" t="s">
        <v>144</v>
      </c>
      <c r="T100" s="1" t="s">
        <v>144</v>
      </c>
    </row>
    <row r="101" spans="1:20" x14ac:dyDescent="0.25">
      <c r="A101" s="13" t="s">
        <v>88</v>
      </c>
      <c r="B101" s="1" t="s">
        <v>41</v>
      </c>
      <c r="C101" s="3">
        <v>-72.938333</v>
      </c>
      <c r="D101" s="3">
        <v>5.7511109999999999</v>
      </c>
      <c r="E101" s="1">
        <v>140.333141623042</v>
      </c>
      <c r="F101" s="14">
        <v>1.3800000000000002E-4</v>
      </c>
      <c r="R101" s="1" t="s">
        <v>144</v>
      </c>
      <c r="S101" s="1" t="s">
        <v>144</v>
      </c>
      <c r="T101" s="1" t="s">
        <v>144</v>
      </c>
    </row>
    <row r="102" spans="1:20" x14ac:dyDescent="0.25">
      <c r="A102" s="13" t="s">
        <v>112</v>
      </c>
      <c r="B102" s="1" t="s">
        <v>41</v>
      </c>
      <c r="C102" s="3">
        <v>-72.928583000000003</v>
      </c>
      <c r="D102" s="3">
        <v>5.7574439999999996</v>
      </c>
      <c r="E102" s="1">
        <v>138.750431532812</v>
      </c>
      <c r="F102" s="14">
        <v>1.1400000000000001E-4</v>
      </c>
      <c r="R102" s="1" t="s">
        <v>144</v>
      </c>
      <c r="S102" s="1" t="s">
        <v>144</v>
      </c>
      <c r="T102" s="1" t="s">
        <v>144</v>
      </c>
    </row>
    <row r="103" spans="1:20" x14ac:dyDescent="0.25">
      <c r="A103" s="13" t="s">
        <v>105</v>
      </c>
      <c r="B103" s="1" t="s">
        <v>41</v>
      </c>
      <c r="C103" s="3">
        <v>-72.913722000000007</v>
      </c>
      <c r="D103" s="3">
        <v>5.7578060000000004</v>
      </c>
      <c r="E103" s="1">
        <v>136.48661518192199</v>
      </c>
      <c r="F103" s="14">
        <v>7.7000000000000007E-4</v>
      </c>
      <c r="R103" s="1" t="s">
        <v>144</v>
      </c>
      <c r="S103" s="1" t="s">
        <v>144</v>
      </c>
      <c r="T103" s="1" t="s">
        <v>144</v>
      </c>
    </row>
    <row r="104" spans="1:20" x14ac:dyDescent="0.25">
      <c r="A104" s="13" t="s">
        <v>108</v>
      </c>
      <c r="B104" s="1" t="s">
        <v>41</v>
      </c>
      <c r="C104" s="3">
        <v>-72.912649999999999</v>
      </c>
      <c r="D104" s="3">
        <v>5.757555</v>
      </c>
      <c r="E104" s="1">
        <v>136.369459751346</v>
      </c>
      <c r="F104" s="14">
        <v>1.33E-3</v>
      </c>
      <c r="R104" s="1" t="s">
        <v>144</v>
      </c>
      <c r="S104" s="1" t="s">
        <v>144</v>
      </c>
      <c r="T104" s="1" t="s">
        <v>144</v>
      </c>
    </row>
    <row r="105" spans="1:20" x14ac:dyDescent="0.25">
      <c r="A105" s="13" t="s">
        <v>94</v>
      </c>
      <c r="B105" s="1" t="s">
        <v>41</v>
      </c>
      <c r="C105" s="3">
        <v>-72.890336000000005</v>
      </c>
      <c r="D105" s="3">
        <v>5.7639110000000002</v>
      </c>
      <c r="E105" s="1">
        <v>133.77599429394598</v>
      </c>
      <c r="F105" s="14">
        <v>0.03</v>
      </c>
      <c r="R105" s="1" t="s">
        <v>144</v>
      </c>
      <c r="S105" s="1" t="s">
        <v>144</v>
      </c>
      <c r="T105" s="1" t="s">
        <v>144</v>
      </c>
    </row>
    <row r="106" spans="1:20" x14ac:dyDescent="0.25">
      <c r="A106" s="13" t="s">
        <v>109</v>
      </c>
      <c r="B106" s="1" t="s">
        <v>41</v>
      </c>
      <c r="C106" s="3">
        <v>-72.877377999999993</v>
      </c>
      <c r="D106" s="3">
        <v>5.7711110000000003</v>
      </c>
      <c r="E106" s="1">
        <v>132.08273950003598</v>
      </c>
      <c r="F106" s="14">
        <v>3.5000000000000003E-2</v>
      </c>
      <c r="R106" s="1" t="s">
        <v>144</v>
      </c>
      <c r="S106" s="1" t="s">
        <v>144</v>
      </c>
      <c r="T106" s="1" t="s">
        <v>144</v>
      </c>
    </row>
    <row r="107" spans="1:20" x14ac:dyDescent="0.25">
      <c r="A107" s="13" t="s">
        <v>123</v>
      </c>
      <c r="B107" s="1" t="s">
        <v>41</v>
      </c>
      <c r="C107" s="3">
        <v>-72.849699999999999</v>
      </c>
      <c r="D107" s="3">
        <v>5.7773589999999997</v>
      </c>
      <c r="E107" s="1">
        <v>128.48870266137601</v>
      </c>
      <c r="F107" s="14">
        <v>8.5999999999999998E-4</v>
      </c>
      <c r="R107" s="1" t="s">
        <v>144</v>
      </c>
      <c r="S107" s="1" t="s">
        <v>144</v>
      </c>
      <c r="T107" s="1" t="s">
        <v>144</v>
      </c>
    </row>
    <row r="108" spans="1:20" x14ac:dyDescent="0.25">
      <c r="A108" s="13" t="s">
        <v>122</v>
      </c>
      <c r="B108" s="1" t="s">
        <v>41</v>
      </c>
      <c r="C108" s="3">
        <v>-72.835437999999996</v>
      </c>
      <c r="D108" s="3">
        <v>5.8078019999999997</v>
      </c>
      <c r="E108" s="1">
        <v>123.853458881846</v>
      </c>
      <c r="F108" s="14">
        <v>2.1900000000000001E-4</v>
      </c>
      <c r="R108" s="1" t="s">
        <v>144</v>
      </c>
      <c r="S108" s="1" t="s">
        <v>144</v>
      </c>
      <c r="T108" s="1" t="s">
        <v>144</v>
      </c>
    </row>
    <row r="109" spans="1:20" x14ac:dyDescent="0.25">
      <c r="A109" s="13" t="s">
        <v>86</v>
      </c>
      <c r="B109" s="1" t="s">
        <v>41</v>
      </c>
      <c r="C109" s="3">
        <v>-72.839777999999995</v>
      </c>
      <c r="D109" s="3">
        <v>5.8395000000000001</v>
      </c>
      <c r="E109" s="1">
        <v>119.730777285326</v>
      </c>
      <c r="F109" s="14">
        <v>5.0000000000000001E-4</v>
      </c>
      <c r="R109" s="1" t="s">
        <v>144</v>
      </c>
      <c r="S109" s="1" t="s">
        <v>144</v>
      </c>
      <c r="T109" s="1" t="s">
        <v>144</v>
      </c>
    </row>
    <row r="110" spans="1:20" x14ac:dyDescent="0.25">
      <c r="A110" s="13" t="s">
        <v>124</v>
      </c>
      <c r="B110" s="1" t="s">
        <v>41</v>
      </c>
      <c r="C110" s="3">
        <v>-72.816044000000005</v>
      </c>
      <c r="D110" s="3">
        <v>5.891038</v>
      </c>
      <c r="E110" s="1">
        <v>111.280346124266</v>
      </c>
      <c r="F110" s="14">
        <v>3.4300000000000004E-4</v>
      </c>
      <c r="R110" s="1" t="s">
        <v>144</v>
      </c>
      <c r="S110" s="1" t="s">
        <v>144</v>
      </c>
      <c r="T110" s="1" t="s">
        <v>144</v>
      </c>
    </row>
    <row r="111" spans="1:20" x14ac:dyDescent="0.25">
      <c r="A111" s="13" t="s">
        <v>97</v>
      </c>
      <c r="B111" s="1" t="s">
        <v>41</v>
      </c>
      <c r="C111" s="3">
        <v>-72.766199999999998</v>
      </c>
      <c r="D111" s="3">
        <v>5.9710029999999996</v>
      </c>
      <c r="E111" s="1">
        <v>97.858153356365989</v>
      </c>
      <c r="F111" s="14">
        <v>3.9300000000000001E-4</v>
      </c>
      <c r="R111" s="1" t="s">
        <v>144</v>
      </c>
      <c r="S111" s="1" t="s">
        <v>144</v>
      </c>
      <c r="T111" s="1" t="s">
        <v>144</v>
      </c>
    </row>
    <row r="112" spans="1:20" x14ac:dyDescent="0.25">
      <c r="A112" s="13" t="s">
        <v>79</v>
      </c>
      <c r="B112" s="1" t="s">
        <v>41</v>
      </c>
      <c r="C112" s="3">
        <v>-72.748461000000006</v>
      </c>
      <c r="D112" s="3">
        <v>5.9840999999999998</v>
      </c>
      <c r="E112" s="1">
        <v>95.190291276025988</v>
      </c>
      <c r="F112" s="14">
        <v>5.5000000000000003E-4</v>
      </c>
      <c r="R112" s="1" t="s">
        <v>144</v>
      </c>
      <c r="S112" s="1" t="s">
        <v>144</v>
      </c>
      <c r="T112" s="1" t="s">
        <v>144</v>
      </c>
    </row>
    <row r="113" spans="1:22" x14ac:dyDescent="0.25">
      <c r="A113" s="13" t="s">
        <v>81</v>
      </c>
      <c r="B113" s="1" t="s">
        <v>41</v>
      </c>
      <c r="C113" s="3">
        <v>-72.742889000000005</v>
      </c>
      <c r="D113" s="3">
        <v>5.9875499999999997</v>
      </c>
      <c r="E113" s="1">
        <v>94.338877996381996</v>
      </c>
      <c r="F113" s="14">
        <v>6.2500000000000001E-4</v>
      </c>
      <c r="R113" s="1" t="s">
        <v>144</v>
      </c>
      <c r="S113" s="1" t="s">
        <v>144</v>
      </c>
      <c r="T113" s="1" t="s">
        <v>144</v>
      </c>
    </row>
    <row r="114" spans="1:22" x14ac:dyDescent="0.25">
      <c r="A114" s="15" t="s">
        <v>106</v>
      </c>
      <c r="B114" s="4" t="s">
        <v>41</v>
      </c>
      <c r="C114" s="3">
        <v>-72.741667000000007</v>
      </c>
      <c r="D114" s="3">
        <v>5.9877779999999996</v>
      </c>
      <c r="E114" s="4">
        <v>94.199090444607009</v>
      </c>
      <c r="F114" s="16">
        <v>1.4999999999999999E-2</v>
      </c>
      <c r="R114" s="1" t="s">
        <v>144</v>
      </c>
      <c r="S114" s="1" t="s">
        <v>144</v>
      </c>
      <c r="T114" s="1" t="s">
        <v>144</v>
      </c>
    </row>
    <row r="115" spans="1:22" x14ac:dyDescent="0.25">
      <c r="A115" s="13" t="s">
        <v>114</v>
      </c>
      <c r="B115" s="1" t="s">
        <v>41</v>
      </c>
      <c r="C115" s="3">
        <v>-72.740110999999999</v>
      </c>
      <c r="D115" s="3">
        <v>5.9886670000000004</v>
      </c>
      <c r="E115" s="1">
        <v>94.0129232102</v>
      </c>
      <c r="F115" s="14">
        <v>4.4000000000000002E-4</v>
      </c>
      <c r="R115" s="1" t="s">
        <v>144</v>
      </c>
      <c r="S115" s="1" t="s">
        <v>144</v>
      </c>
      <c r="T115" s="1" t="s">
        <v>144</v>
      </c>
    </row>
    <row r="116" spans="1:22" x14ac:dyDescent="0.25">
      <c r="A116" s="17" t="s">
        <v>91</v>
      </c>
      <c r="B116" s="1" t="s">
        <v>41</v>
      </c>
      <c r="C116" s="3">
        <v>-72.688999999999993</v>
      </c>
      <c r="D116" s="3">
        <v>6.5032500000000004</v>
      </c>
      <c r="E116" s="1">
        <v>23.9796892098</v>
      </c>
      <c r="F116" s="14">
        <v>4.8999999999999998E-4</v>
      </c>
      <c r="R116" s="1" t="s">
        <v>144</v>
      </c>
      <c r="S116" s="1" t="s">
        <v>144</v>
      </c>
      <c r="T116" s="1" t="s">
        <v>144</v>
      </c>
    </row>
    <row r="117" spans="1:22" x14ac:dyDescent="0.25">
      <c r="A117" s="11" t="s">
        <v>165</v>
      </c>
      <c r="B117" s="1" t="s">
        <v>40</v>
      </c>
      <c r="C117" s="4">
        <v>-73.351305999999994</v>
      </c>
      <c r="D117" s="4">
        <v>5.553833</v>
      </c>
      <c r="E117" s="4">
        <v>232.83164903229999</v>
      </c>
      <c r="F117" s="4">
        <v>0.03</v>
      </c>
      <c r="G117" s="4">
        <v>17.3</v>
      </c>
      <c r="H117" s="4">
        <v>250</v>
      </c>
      <c r="I117" s="4">
        <v>8.1999999999999993</v>
      </c>
      <c r="J117" s="4">
        <v>5.5</v>
      </c>
      <c r="K117" s="4">
        <v>3.63</v>
      </c>
      <c r="L117" s="4">
        <v>2</v>
      </c>
      <c r="M117" s="4">
        <v>0.90500000000000003</v>
      </c>
      <c r="N117" s="4">
        <v>2.3400000000000001E-2</v>
      </c>
      <c r="O117" s="4">
        <v>1.4</v>
      </c>
      <c r="P117" s="4">
        <v>0.19</v>
      </c>
      <c r="Q117" s="4">
        <v>0.15</v>
      </c>
      <c r="R117" s="4">
        <v>3.5009222391903005</v>
      </c>
      <c r="S117" s="4" t="s">
        <v>144</v>
      </c>
      <c r="T117" s="4">
        <v>2.3109056293761414</v>
      </c>
      <c r="U117" s="4">
        <v>68</v>
      </c>
      <c r="V117" s="4">
        <v>7.3</v>
      </c>
    </row>
    <row r="118" spans="1:22" x14ac:dyDescent="0.25">
      <c r="A118" s="11" t="s">
        <v>166</v>
      </c>
      <c r="B118" s="1" t="s">
        <v>40</v>
      </c>
      <c r="C118" s="4">
        <v>-73.320549</v>
      </c>
      <c r="D118" s="4">
        <v>5.5812809999999997</v>
      </c>
      <c r="E118" s="4">
        <v>227.75250701037999</v>
      </c>
      <c r="F118" s="4">
        <v>2.0660000000000001E-3</v>
      </c>
      <c r="G118" s="4">
        <v>17.600000000000001</v>
      </c>
      <c r="H118" s="4">
        <v>635</v>
      </c>
      <c r="I118" s="4">
        <v>205</v>
      </c>
      <c r="J118" s="4">
        <v>3.55</v>
      </c>
      <c r="K118" s="4">
        <v>58</v>
      </c>
      <c r="L118" s="4">
        <v>55.599999999999987</v>
      </c>
      <c r="M118" s="4">
        <v>18.5</v>
      </c>
      <c r="N118" s="4">
        <v>3.4500000000000003E-2</v>
      </c>
      <c r="O118" s="4">
        <v>1.9097</v>
      </c>
      <c r="P118" s="4">
        <v>2.99</v>
      </c>
      <c r="Q118" s="4">
        <v>1.34</v>
      </c>
      <c r="R118" s="4">
        <v>5.6322547766847135</v>
      </c>
      <c r="S118" s="4" t="s">
        <v>144</v>
      </c>
      <c r="T118" s="4">
        <v>4.3272567354255331</v>
      </c>
      <c r="U118" s="4">
        <v>193</v>
      </c>
      <c r="V118" s="4">
        <v>7.55</v>
      </c>
    </row>
    <row r="119" spans="1:22" x14ac:dyDescent="0.25">
      <c r="A119" s="11" t="s">
        <v>167</v>
      </c>
      <c r="B119" s="1" t="s">
        <v>40</v>
      </c>
      <c r="C119" s="4">
        <v>-73.244380000000007</v>
      </c>
      <c r="D119" s="4">
        <v>5.7064719999999998</v>
      </c>
      <c r="E119" s="4">
        <v>204.17792328067998</v>
      </c>
      <c r="F119" s="4">
        <v>0.26300000000000001</v>
      </c>
      <c r="G119" s="4">
        <v>15.5</v>
      </c>
      <c r="H119" s="4">
        <v>67.900000000000006</v>
      </c>
      <c r="I119" s="4">
        <v>14</v>
      </c>
      <c r="J119" s="4">
        <v>5.51</v>
      </c>
      <c r="K119" s="4">
        <v>5</v>
      </c>
      <c r="L119" s="4">
        <v>5.16</v>
      </c>
      <c r="M119" s="4">
        <v>1</v>
      </c>
      <c r="N119" s="4">
        <v>3.5000000000000001E-3</v>
      </c>
      <c r="O119" s="4">
        <v>0.88700000000000001</v>
      </c>
      <c r="P119" s="4">
        <v>1.72</v>
      </c>
      <c r="Q119" s="4">
        <v>0.626</v>
      </c>
      <c r="R119" s="4">
        <v>3.9800033715837464</v>
      </c>
      <c r="S119" s="4" t="s">
        <v>144</v>
      </c>
      <c r="T119" s="4">
        <v>2.7678976160180908</v>
      </c>
      <c r="U119" s="4">
        <v>23.45</v>
      </c>
      <c r="V119" s="4">
        <v>7.35</v>
      </c>
    </row>
    <row r="120" spans="1:22" x14ac:dyDescent="0.25">
      <c r="A120" s="11" t="s">
        <v>168</v>
      </c>
      <c r="B120" s="1" t="s">
        <v>40</v>
      </c>
      <c r="C120" s="4">
        <v>-73.224416000000005</v>
      </c>
      <c r="D120" s="4">
        <v>5.7059059999999997</v>
      </c>
      <c r="E120" s="4">
        <v>200.00856073558998</v>
      </c>
      <c r="F120" s="4">
        <v>1.8176699999999999</v>
      </c>
      <c r="G120" s="4">
        <v>17.899999999999999</v>
      </c>
      <c r="H120" s="4">
        <v>81.300000000000011</v>
      </c>
      <c r="I120" s="4">
        <v>13.5</v>
      </c>
      <c r="J120" s="4">
        <v>3.88</v>
      </c>
      <c r="K120" s="4">
        <v>5</v>
      </c>
      <c r="L120" s="4">
        <v>1.65</v>
      </c>
      <c r="M120" s="4">
        <v>0.6</v>
      </c>
      <c r="N120" s="4">
        <v>1.14E-2</v>
      </c>
      <c r="O120" s="4">
        <v>0.6</v>
      </c>
      <c r="P120" s="4">
        <v>0.15</v>
      </c>
      <c r="Q120" s="4">
        <v>0.15</v>
      </c>
      <c r="R120" s="4">
        <v>3.6608654780038692</v>
      </c>
      <c r="S120" s="4" t="s">
        <v>144</v>
      </c>
      <c r="T120" s="4">
        <v>2.7371926427047373</v>
      </c>
      <c r="U120" s="4">
        <v>14.1</v>
      </c>
      <c r="V120" s="4">
        <v>6.7</v>
      </c>
    </row>
    <row r="121" spans="1:22" x14ac:dyDescent="0.25">
      <c r="A121" s="11" t="s">
        <v>169</v>
      </c>
      <c r="B121" s="1" t="s">
        <v>40</v>
      </c>
      <c r="C121" s="4">
        <v>-73.199173000000002</v>
      </c>
      <c r="D121" s="4">
        <v>5.740265</v>
      </c>
      <c r="E121" s="4">
        <v>189.88612989599</v>
      </c>
      <c r="F121" s="4">
        <v>0.46400000000000002</v>
      </c>
      <c r="G121" s="4">
        <v>16.2</v>
      </c>
      <c r="H121" s="4">
        <v>140</v>
      </c>
      <c r="I121" s="4">
        <v>5.5</v>
      </c>
      <c r="J121" s="4">
        <v>6.85</v>
      </c>
      <c r="K121" s="4">
        <v>5</v>
      </c>
      <c r="L121" s="4">
        <v>2</v>
      </c>
      <c r="M121" s="4">
        <v>0.97499999999999998</v>
      </c>
      <c r="N121" s="4">
        <v>9.1999999999999998E-3</v>
      </c>
      <c r="O121" s="4">
        <v>0.5</v>
      </c>
      <c r="P121" s="4">
        <v>0.15</v>
      </c>
      <c r="Q121" s="4">
        <v>6.4000000000000001E-2</v>
      </c>
      <c r="R121" s="4">
        <v>3.3169134391649919</v>
      </c>
      <c r="S121" s="4" t="s">
        <v>144</v>
      </c>
      <c r="T121" s="4">
        <v>2.0253058652647704</v>
      </c>
      <c r="U121" s="4">
        <v>46.97</v>
      </c>
      <c r="V121" s="4">
        <v>7.75</v>
      </c>
    </row>
    <row r="122" spans="1:22" x14ac:dyDescent="0.25">
      <c r="A122" s="11" t="s">
        <v>170</v>
      </c>
      <c r="B122" s="1" t="s">
        <v>40</v>
      </c>
      <c r="C122" s="4">
        <v>-73.076683000000003</v>
      </c>
      <c r="D122" s="4">
        <v>5.7727719999999998</v>
      </c>
      <c r="E122" s="4">
        <v>168.69556557029</v>
      </c>
      <c r="F122" s="4">
        <v>8.6999999999999994E-2</v>
      </c>
      <c r="G122" s="4">
        <v>18.2</v>
      </c>
      <c r="H122" s="4">
        <v>180</v>
      </c>
      <c r="I122" s="4">
        <v>29</v>
      </c>
      <c r="J122" s="4">
        <v>5.0250000000000004</v>
      </c>
      <c r="K122" s="4">
        <v>7.5</v>
      </c>
      <c r="L122" s="4">
        <v>2</v>
      </c>
      <c r="M122" s="4">
        <v>0.80149999999999999</v>
      </c>
      <c r="N122" s="4">
        <v>2.4500000000000001E-2</v>
      </c>
      <c r="O122" s="4">
        <v>1.9</v>
      </c>
      <c r="P122" s="4">
        <v>0.16400000000000001</v>
      </c>
      <c r="Q122" s="4">
        <v>0.15</v>
      </c>
      <c r="R122" s="4">
        <v>3.4586378490256493</v>
      </c>
      <c r="S122" s="4" t="s">
        <v>144</v>
      </c>
      <c r="T122" s="4">
        <v>2.5987905067631152</v>
      </c>
      <c r="U122" s="4">
        <v>30.6</v>
      </c>
      <c r="V122" s="4">
        <v>6.8900000000000006</v>
      </c>
    </row>
    <row r="123" spans="1:22" x14ac:dyDescent="0.25">
      <c r="A123" s="11" t="s">
        <v>171</v>
      </c>
      <c r="B123" s="1" t="s">
        <v>40</v>
      </c>
      <c r="C123" s="4">
        <v>-73.009721999999996</v>
      </c>
      <c r="D123" s="4">
        <v>5.8103889999999998</v>
      </c>
      <c r="E123" s="4">
        <v>155.61499773778999</v>
      </c>
      <c r="F123" s="4">
        <v>0.14299999999999999</v>
      </c>
      <c r="G123" s="4">
        <v>19.7</v>
      </c>
      <c r="H123" s="4">
        <v>182</v>
      </c>
      <c r="I123" s="4">
        <v>5.5</v>
      </c>
      <c r="J123" s="4">
        <v>5.55</v>
      </c>
      <c r="K123" s="4">
        <v>7.5</v>
      </c>
      <c r="L123" s="4">
        <v>5.16</v>
      </c>
      <c r="M123" s="4">
        <v>1</v>
      </c>
      <c r="N123" s="4">
        <v>8.7900000000000006E-2</v>
      </c>
      <c r="O123" s="4">
        <v>2.5</v>
      </c>
      <c r="P123" s="4">
        <v>0.23599999999999999</v>
      </c>
      <c r="Q123" s="4">
        <v>0.2</v>
      </c>
      <c r="R123" s="4">
        <v>4.160618572399474</v>
      </c>
      <c r="S123" s="4" t="s">
        <v>144</v>
      </c>
      <c r="T123" s="4">
        <v>2.9237619608287004</v>
      </c>
      <c r="U123" s="4">
        <v>39</v>
      </c>
      <c r="V123" s="4">
        <v>7.7</v>
      </c>
    </row>
    <row r="124" spans="1:22" x14ac:dyDescent="0.25">
      <c r="A124" s="11" t="s">
        <v>172</v>
      </c>
      <c r="B124" s="1" t="s">
        <v>40</v>
      </c>
      <c r="C124" s="4">
        <v>-72.912915999999996</v>
      </c>
      <c r="D124" s="4">
        <v>5.7570480000000002</v>
      </c>
      <c r="E124" s="4">
        <v>136.03925939548998</v>
      </c>
      <c r="F124" s="4">
        <v>1.18</v>
      </c>
      <c r="G124" s="4">
        <v>21.3</v>
      </c>
      <c r="H124" s="4">
        <v>1010</v>
      </c>
      <c r="I124" s="4">
        <v>76.5</v>
      </c>
      <c r="J124" s="4">
        <v>0.71</v>
      </c>
      <c r="K124" s="4">
        <v>57</v>
      </c>
      <c r="L124" s="4">
        <v>18.8</v>
      </c>
      <c r="M124" s="4">
        <v>13.2</v>
      </c>
      <c r="N124" s="4">
        <v>2.0799999999999999E-2</v>
      </c>
      <c r="O124" s="4">
        <v>1.1000000000000001</v>
      </c>
      <c r="P124" s="4">
        <v>2.5</v>
      </c>
      <c r="Q124" s="4">
        <v>2.0099999999999998</v>
      </c>
      <c r="R124" s="4">
        <v>5.4699692094999595</v>
      </c>
      <c r="S124" s="4" t="s">
        <v>144</v>
      </c>
      <c r="T124" s="4">
        <v>4.9934362304976121</v>
      </c>
      <c r="U124" s="4">
        <v>197.99</v>
      </c>
      <c r="V124" s="4">
        <v>7.2</v>
      </c>
    </row>
    <row r="125" spans="1:22" x14ac:dyDescent="0.25">
      <c r="A125" s="11" t="s">
        <v>173</v>
      </c>
      <c r="B125" s="1" t="s">
        <v>40</v>
      </c>
      <c r="C125" s="4">
        <v>-72.849681000000004</v>
      </c>
      <c r="D125" s="4">
        <v>5.7763359999999997</v>
      </c>
      <c r="E125" s="4">
        <v>128.37197546879997</v>
      </c>
      <c r="F125" s="4">
        <v>0.73306500000000008</v>
      </c>
      <c r="G125" s="4">
        <v>15.1</v>
      </c>
      <c r="H125" s="4">
        <v>67.75</v>
      </c>
      <c r="I125" s="4">
        <v>9.5</v>
      </c>
      <c r="J125" s="4">
        <v>7.15</v>
      </c>
      <c r="K125" s="4">
        <v>5</v>
      </c>
      <c r="L125" s="4">
        <v>2</v>
      </c>
      <c r="M125" s="4">
        <v>0.56000000000000005</v>
      </c>
      <c r="N125" s="4">
        <v>0.01</v>
      </c>
      <c r="O125" s="4">
        <v>0.35499999999999998</v>
      </c>
      <c r="P125" s="4">
        <v>0.13</v>
      </c>
      <c r="Q125" s="4">
        <v>7.0000000000000007E-2</v>
      </c>
      <c r="R125" s="4">
        <v>3.9386197815026809</v>
      </c>
      <c r="S125" s="4" t="s">
        <v>144</v>
      </c>
      <c r="T125" s="4">
        <v>2.7792356316758635</v>
      </c>
      <c r="U125" s="4">
        <v>15</v>
      </c>
      <c r="V125" s="4">
        <v>7.15</v>
      </c>
    </row>
    <row r="126" spans="1:22" x14ac:dyDescent="0.25">
      <c r="A126" s="11" t="s">
        <v>174</v>
      </c>
      <c r="B126" s="1" t="s">
        <v>40</v>
      </c>
      <c r="C126" s="4">
        <v>-72.830831000000003</v>
      </c>
      <c r="D126" s="4">
        <v>5.7973869999999996</v>
      </c>
      <c r="E126" s="4">
        <v>124.97401914839999</v>
      </c>
      <c r="F126" s="4">
        <v>5.1997999999999998</v>
      </c>
      <c r="G126" s="4">
        <v>15.4</v>
      </c>
      <c r="H126" s="4">
        <v>50.7</v>
      </c>
      <c r="I126" s="4">
        <v>7.5</v>
      </c>
      <c r="J126" s="4">
        <v>6.85</v>
      </c>
      <c r="K126" s="4">
        <v>5</v>
      </c>
      <c r="L126" s="4">
        <v>2</v>
      </c>
      <c r="M126" s="4">
        <v>0.625</v>
      </c>
      <c r="N126" s="4">
        <v>3.5000000000000001E-3</v>
      </c>
      <c r="O126" s="4">
        <v>0.25</v>
      </c>
      <c r="P126" s="4">
        <v>0.15</v>
      </c>
      <c r="Q126" s="4">
        <v>0.06</v>
      </c>
      <c r="R126" s="4">
        <v>3.2984163800612945</v>
      </c>
      <c r="S126" s="4" t="s">
        <v>144</v>
      </c>
      <c r="T126" s="4">
        <v>2.3802112417116059</v>
      </c>
      <c r="U126" s="4">
        <v>17</v>
      </c>
      <c r="V126" s="4">
        <v>7.4</v>
      </c>
    </row>
    <row r="127" spans="1:22" x14ac:dyDescent="0.25">
      <c r="A127" s="11" t="s">
        <v>175</v>
      </c>
      <c r="B127" s="1" t="s">
        <v>40</v>
      </c>
      <c r="C127" s="4">
        <v>-72.749219999999994</v>
      </c>
      <c r="D127" s="4">
        <v>5.9894230000000004</v>
      </c>
      <c r="E127" s="4">
        <v>94.306912217199994</v>
      </c>
      <c r="F127" s="4">
        <v>2.67</v>
      </c>
      <c r="G127" s="4">
        <v>16.95</v>
      </c>
      <c r="H127" s="4">
        <v>86.4</v>
      </c>
      <c r="I127" s="4">
        <v>74</v>
      </c>
      <c r="J127" s="4">
        <v>6.7</v>
      </c>
      <c r="K127" s="4">
        <v>5</v>
      </c>
      <c r="L127" s="4">
        <v>2</v>
      </c>
      <c r="M127" s="4">
        <v>0.625</v>
      </c>
      <c r="N127" s="4">
        <v>6.4999999999999997E-3</v>
      </c>
      <c r="O127" s="4">
        <v>0.51949999999999996</v>
      </c>
      <c r="P127" s="4">
        <v>0.15</v>
      </c>
      <c r="Q127" s="4">
        <v>9.2999999999999999E-2</v>
      </c>
      <c r="R127" s="4">
        <v>3.1447920784977148</v>
      </c>
      <c r="S127" s="4" t="s">
        <v>144</v>
      </c>
      <c r="T127" s="4">
        <v>2.0187004986662433</v>
      </c>
      <c r="U127" s="4">
        <v>33</v>
      </c>
      <c r="V127" s="4">
        <v>7.5449999999999999</v>
      </c>
    </row>
    <row r="128" spans="1:22" x14ac:dyDescent="0.25">
      <c r="A128" s="11" t="s">
        <v>176</v>
      </c>
      <c r="B128" s="1" t="s">
        <v>40</v>
      </c>
      <c r="C128" s="4">
        <v>-72.64152</v>
      </c>
      <c r="D128" s="4">
        <v>6.035126</v>
      </c>
      <c r="E128" s="4">
        <v>80.406599917400001</v>
      </c>
      <c r="F128" s="4">
        <v>4.4406999999999996</v>
      </c>
      <c r="G128" s="4">
        <v>15.8</v>
      </c>
      <c r="H128" s="4">
        <v>57.4</v>
      </c>
      <c r="I128" s="4">
        <v>47.9</v>
      </c>
      <c r="J128" s="4">
        <v>6.1550000000000002</v>
      </c>
      <c r="K128" s="4">
        <v>2.5</v>
      </c>
      <c r="L128" s="4">
        <v>2</v>
      </c>
      <c r="M128" s="4">
        <v>0.5</v>
      </c>
      <c r="N128" s="4">
        <v>4.0000000000000001E-3</v>
      </c>
      <c r="O128" s="4">
        <v>0.438</v>
      </c>
      <c r="P128" s="4">
        <v>0.06</v>
      </c>
      <c r="Q128" s="4">
        <v>3.1E-2</v>
      </c>
      <c r="R128" s="4">
        <v>3.7493884315811541</v>
      </c>
      <c r="S128" s="4" t="s">
        <v>144</v>
      </c>
      <c r="T128" s="4">
        <v>2.4771212547196626</v>
      </c>
      <c r="U128" s="4">
        <v>21</v>
      </c>
      <c r="V128" s="4">
        <v>7.25</v>
      </c>
    </row>
    <row r="129" spans="1:22" x14ac:dyDescent="0.25">
      <c r="A129" s="11" t="s">
        <v>177</v>
      </c>
      <c r="B129" s="1" t="s">
        <v>40</v>
      </c>
      <c r="C129" s="4">
        <v>-72.645781999999997</v>
      </c>
      <c r="D129" s="4">
        <v>6.2857519999999996</v>
      </c>
      <c r="E129" s="4">
        <v>51.394509889299997</v>
      </c>
      <c r="F129" s="4">
        <v>1.5525</v>
      </c>
      <c r="G129" s="4">
        <v>21.6</v>
      </c>
      <c r="H129" s="4">
        <v>93.85</v>
      </c>
      <c r="I129" s="4">
        <v>45</v>
      </c>
      <c r="J129" s="4">
        <v>6.4</v>
      </c>
      <c r="K129" s="4">
        <v>5</v>
      </c>
      <c r="L129" s="4">
        <v>2</v>
      </c>
      <c r="M129" s="4">
        <v>0.46500000000000002</v>
      </c>
      <c r="N129" s="4">
        <v>3.5000000000000001E-3</v>
      </c>
      <c r="O129" s="4">
        <v>0.40949999999999998</v>
      </c>
      <c r="P129" s="4">
        <v>0.12</v>
      </c>
      <c r="Q129" s="4">
        <v>3.5999999999999997E-2</v>
      </c>
      <c r="R129" s="4">
        <v>3.4740705032150436</v>
      </c>
      <c r="S129" s="4" t="s">
        <v>144</v>
      </c>
      <c r="T129" s="4">
        <v>2.4879863311293935</v>
      </c>
      <c r="U129" s="4">
        <v>37.5</v>
      </c>
      <c r="V129" s="4">
        <v>7.55</v>
      </c>
    </row>
    <row r="130" spans="1:22" x14ac:dyDescent="0.25">
      <c r="A130" s="11" t="s">
        <v>178</v>
      </c>
      <c r="B130" s="1" t="s">
        <v>40</v>
      </c>
      <c r="C130" s="4">
        <v>-72.637617000000006</v>
      </c>
      <c r="D130" s="4">
        <v>6.4377259999999996</v>
      </c>
      <c r="E130" s="4">
        <v>32.42652587149999</v>
      </c>
      <c r="F130" s="4">
        <v>6.3209999999999997</v>
      </c>
      <c r="G130" s="4">
        <v>20.9</v>
      </c>
      <c r="H130" s="4">
        <v>170</v>
      </c>
      <c r="I130" s="4">
        <v>214</v>
      </c>
      <c r="J130" s="4">
        <v>6.58</v>
      </c>
      <c r="K130" s="4">
        <v>10</v>
      </c>
      <c r="L130" s="4">
        <v>2</v>
      </c>
      <c r="M130" s="4">
        <v>0.63500000000000001</v>
      </c>
      <c r="N130" s="4">
        <v>5.3E-3</v>
      </c>
      <c r="O130" s="4">
        <v>0.39800000000000002</v>
      </c>
      <c r="P130" s="4">
        <v>0.24199999999999999</v>
      </c>
      <c r="Q130" s="4">
        <v>7.0000000000000007E-2</v>
      </c>
      <c r="R130" s="4">
        <v>3.6483112111065163</v>
      </c>
      <c r="S130" s="4" t="s">
        <v>144</v>
      </c>
      <c r="T130" s="4">
        <v>2.6230424342463818</v>
      </c>
      <c r="U130" s="4">
        <v>64.319999999999993</v>
      </c>
      <c r="V130" s="4">
        <v>8.18</v>
      </c>
    </row>
    <row r="135" spans="1:22" x14ac:dyDescent="0.3">
      <c r="D135" s="1" t="s">
        <v>204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8C06-801F-46EA-BB22-388546B45E90}">
  <sheetPr codeName="Hoja3"/>
  <dimension ref="A1:U44"/>
  <sheetViews>
    <sheetView topLeftCell="A10" zoomScale="90" zoomScaleNormal="90" workbookViewId="0">
      <selection activeCell="G36" sqref="G36"/>
    </sheetView>
  </sheetViews>
  <sheetFormatPr baseColWidth="10" defaultRowHeight="13.8" x14ac:dyDescent="0.25"/>
  <cols>
    <col min="1" max="1" width="38.33203125" style="4" bestFit="1" customWidth="1"/>
    <col min="2" max="2" width="11.5546875" style="4" customWidth="1"/>
    <col min="3" max="3" width="11.109375" style="4" bestFit="1" customWidth="1"/>
    <col min="4" max="4" width="11.5546875" style="4"/>
    <col min="5" max="5" width="19.77734375" style="4" customWidth="1"/>
    <col min="6" max="6" width="13.21875" style="1" bestFit="1" customWidth="1"/>
    <col min="7" max="7" width="15" style="4" bestFit="1" customWidth="1"/>
    <col min="8" max="8" width="11.5546875" style="4"/>
    <col min="9" max="9" width="17.6640625" style="4" bestFit="1" customWidth="1"/>
    <col min="10" max="11" width="11.5546875" style="4"/>
    <col min="12" max="12" width="22.109375" style="4" bestFit="1" customWidth="1"/>
    <col min="13" max="14" width="11.5546875" style="4"/>
    <col min="15" max="15" width="15" style="4" bestFit="1" customWidth="1"/>
    <col min="16" max="16" width="14.33203125" style="4" bestFit="1" customWidth="1"/>
    <col min="17" max="17" width="19.77734375" style="4" bestFit="1" customWidth="1"/>
    <col min="18" max="18" width="29.21875" style="4" bestFit="1" customWidth="1"/>
    <col min="19" max="19" width="11.5546875" style="4"/>
    <col min="20" max="20" width="12" style="4" bestFit="1" customWidth="1"/>
    <col min="21" max="16384" width="11.5546875" style="4"/>
  </cols>
  <sheetData>
    <row r="1" spans="1:21" x14ac:dyDescent="0.25">
      <c r="A1" s="4" t="s">
        <v>35</v>
      </c>
      <c r="B1" s="4" t="s">
        <v>4</v>
      </c>
      <c r="C1" s="4" t="s">
        <v>5</v>
      </c>
      <c r="D1" s="1" t="s">
        <v>17</v>
      </c>
      <c r="E1" s="4" t="s">
        <v>18</v>
      </c>
      <c r="F1" s="1" t="s">
        <v>38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 s="1" customFormat="1" ht="17.399999999999999" customHeight="1" x14ac:dyDescent="0.3">
      <c r="A2" s="18" t="s">
        <v>128</v>
      </c>
      <c r="B2" s="11">
        <v>-73.391734499999998</v>
      </c>
      <c r="C2" s="11">
        <v>5.4772809000000002</v>
      </c>
      <c r="D2" s="1">
        <v>244.16136581916899</v>
      </c>
      <c r="E2" s="1">
        <v>2.9000000000000001E-2</v>
      </c>
      <c r="F2" s="1">
        <v>17.600000000000001</v>
      </c>
      <c r="G2" s="1">
        <v>61</v>
      </c>
      <c r="H2" s="1">
        <v>5.5</v>
      </c>
      <c r="I2" s="1">
        <v>6.2</v>
      </c>
      <c r="J2" s="1">
        <v>2.5</v>
      </c>
      <c r="K2" s="1">
        <v>2</v>
      </c>
      <c r="L2" s="1">
        <v>0.625</v>
      </c>
      <c r="M2" s="1">
        <v>1.5100000000000001E-2</v>
      </c>
      <c r="N2" s="1">
        <v>0.5</v>
      </c>
      <c r="O2" s="1">
        <v>0.375</v>
      </c>
      <c r="P2" s="1">
        <v>0.15</v>
      </c>
      <c r="Q2" s="1">
        <v>4.3040594662175993</v>
      </c>
      <c r="R2" s="1" t="s">
        <v>144</v>
      </c>
      <c r="S2" s="1">
        <v>3.8948696567452528</v>
      </c>
      <c r="T2" s="1">
        <v>12.86</v>
      </c>
      <c r="U2" s="1">
        <v>7.1</v>
      </c>
    </row>
    <row r="3" spans="1:21" x14ac:dyDescent="0.25">
      <c r="A3" s="1" t="s">
        <v>179</v>
      </c>
      <c r="B3" s="3">
        <v>-73.372749999999996</v>
      </c>
      <c r="C3" s="3">
        <v>5.5006110000000001</v>
      </c>
      <c r="D3" s="4">
        <v>240.17740145046903</v>
      </c>
      <c r="E3" s="4">
        <v>2.9000000000000001E-2</v>
      </c>
      <c r="F3" s="4">
        <v>17.600000000000001</v>
      </c>
      <c r="G3" s="4">
        <v>61</v>
      </c>
      <c r="H3" s="4">
        <v>5.5</v>
      </c>
      <c r="I3" s="4">
        <v>6.2</v>
      </c>
      <c r="J3" s="4">
        <v>2.5</v>
      </c>
      <c r="K3" s="4">
        <v>2</v>
      </c>
      <c r="L3" s="4">
        <v>0.625</v>
      </c>
      <c r="M3" s="4">
        <v>1.5100000000000001E-2</v>
      </c>
      <c r="N3" s="4">
        <v>0.5</v>
      </c>
      <c r="O3" s="4">
        <v>0.375</v>
      </c>
      <c r="P3" s="4">
        <v>0.15</v>
      </c>
      <c r="Q3" s="4">
        <v>4.3040594662175993</v>
      </c>
      <c r="R3" s="4" t="s">
        <v>144</v>
      </c>
      <c r="S3" s="4">
        <v>3.8948696567452528</v>
      </c>
      <c r="T3" s="4">
        <v>12.86</v>
      </c>
      <c r="U3" s="4">
        <v>7.1</v>
      </c>
    </row>
    <row r="4" spans="1:21" x14ac:dyDescent="0.25">
      <c r="A4" s="1" t="s">
        <v>180</v>
      </c>
      <c r="B4" s="3">
        <v>-73.351139000000003</v>
      </c>
      <c r="C4" s="3">
        <v>5.5531670000000002</v>
      </c>
      <c r="D4" s="4">
        <v>233.14931923076901</v>
      </c>
      <c r="E4" s="4">
        <v>5.7000000000000002E-2</v>
      </c>
      <c r="F4" s="4">
        <v>18.399999999999999</v>
      </c>
      <c r="G4" s="4">
        <v>414</v>
      </c>
      <c r="H4" s="4">
        <v>15</v>
      </c>
      <c r="I4" s="4">
        <v>3.2</v>
      </c>
      <c r="J4" s="4">
        <v>22</v>
      </c>
      <c r="K4" s="4">
        <v>8.9600000000000009</v>
      </c>
      <c r="L4" s="4">
        <v>6.85</v>
      </c>
      <c r="M4" s="4">
        <v>1.52E-2</v>
      </c>
      <c r="N4" s="4">
        <v>0.72799999999999998</v>
      </c>
      <c r="O4" s="4">
        <v>1.2</v>
      </c>
      <c r="P4" s="4">
        <v>0.84</v>
      </c>
      <c r="Q4" s="4">
        <v>3.878291949249796</v>
      </c>
      <c r="R4" s="4" t="s">
        <v>144</v>
      </c>
      <c r="S4" s="4">
        <v>3.5128177585648732</v>
      </c>
      <c r="T4" s="4">
        <v>99.7</v>
      </c>
      <c r="U4" s="4">
        <v>7.34</v>
      </c>
    </row>
    <row r="5" spans="1:21" x14ac:dyDescent="0.25">
      <c r="A5" s="1" t="s">
        <v>181</v>
      </c>
      <c r="B5" s="3">
        <v>-73.332166000000001</v>
      </c>
      <c r="C5" s="3">
        <v>5.5716289999999997</v>
      </c>
      <c r="D5" s="4">
        <v>230.07899286547902</v>
      </c>
      <c r="E5" s="4">
        <v>7.1132000000000001E-2</v>
      </c>
      <c r="F5" s="4">
        <v>17.25</v>
      </c>
      <c r="G5" s="4">
        <v>325</v>
      </c>
      <c r="H5" s="4">
        <v>40</v>
      </c>
      <c r="I5" s="4">
        <v>2.5</v>
      </c>
      <c r="J5" s="4">
        <v>44</v>
      </c>
      <c r="K5" s="4">
        <v>20.2</v>
      </c>
      <c r="L5" s="4">
        <v>11.35</v>
      </c>
      <c r="M5" s="4">
        <v>8.3499999999999998E-3</v>
      </c>
      <c r="N5" s="4">
        <v>0.82</v>
      </c>
      <c r="O5" s="4">
        <v>1.71</v>
      </c>
      <c r="P5" s="4">
        <v>0.91</v>
      </c>
      <c r="Q5" s="4">
        <v>4.8335614390468962</v>
      </c>
      <c r="R5" s="4" t="s">
        <v>144</v>
      </c>
      <c r="S5" s="4">
        <v>3.8799555851227492</v>
      </c>
      <c r="T5" s="4">
        <v>97.2</v>
      </c>
      <c r="U5" s="4">
        <v>7.2</v>
      </c>
    </row>
    <row r="6" spans="1:21" x14ac:dyDescent="0.25">
      <c r="A6" s="1" t="s">
        <v>182</v>
      </c>
      <c r="B6" s="3">
        <v>-73.320402999999999</v>
      </c>
      <c r="C6" s="3">
        <v>5.5842790000000004</v>
      </c>
      <c r="D6" s="4">
        <v>227.68384645393903</v>
      </c>
      <c r="E6" s="4">
        <v>0.50520600000000004</v>
      </c>
      <c r="F6" s="4">
        <v>19.399999999999999</v>
      </c>
      <c r="G6" s="4">
        <v>810</v>
      </c>
      <c r="H6" s="4">
        <v>162</v>
      </c>
      <c r="I6" s="4">
        <v>0.66</v>
      </c>
      <c r="J6" s="4">
        <v>171</v>
      </c>
      <c r="K6" s="4">
        <v>54.5</v>
      </c>
      <c r="L6" s="4">
        <v>48.6</v>
      </c>
      <c r="M6" s="4">
        <v>2.5000000000000001E-2</v>
      </c>
      <c r="N6" s="4">
        <v>1.1000000000000001</v>
      </c>
      <c r="O6" s="4">
        <v>9.5299999999999994</v>
      </c>
      <c r="P6" s="4">
        <v>5.52</v>
      </c>
      <c r="Q6" s="4">
        <v>6.8045108441051401</v>
      </c>
      <c r="R6" s="4" t="s">
        <v>144</v>
      </c>
      <c r="S6" s="4">
        <v>7.07657309186032</v>
      </c>
      <c r="T6" s="4">
        <v>242</v>
      </c>
      <c r="U6" s="4">
        <v>7.7</v>
      </c>
    </row>
    <row r="7" spans="1:21" x14ac:dyDescent="0.25">
      <c r="A7" s="1" t="s">
        <v>183</v>
      </c>
      <c r="B7" s="3">
        <v>-73.281471999999994</v>
      </c>
      <c r="C7" s="3">
        <v>5.6410799999999997</v>
      </c>
      <c r="D7" s="4">
        <v>217.47804503803903</v>
      </c>
      <c r="E7" s="4">
        <v>0.25744600000000001</v>
      </c>
      <c r="F7" s="4">
        <v>18.100000000000001</v>
      </c>
      <c r="G7" s="4">
        <v>783</v>
      </c>
      <c r="H7" s="4">
        <v>87</v>
      </c>
      <c r="I7" s="4">
        <v>1.1000000000000001</v>
      </c>
      <c r="J7" s="4">
        <v>105</v>
      </c>
      <c r="K7" s="4">
        <v>52.1</v>
      </c>
      <c r="L7" s="4">
        <v>38.950000000000003</v>
      </c>
      <c r="M7" s="4">
        <v>1.8499999999999999E-2</v>
      </c>
      <c r="N7" s="4">
        <v>1.33</v>
      </c>
      <c r="O7" s="4">
        <v>10.88</v>
      </c>
      <c r="P7" s="4">
        <v>4.7300000000000004</v>
      </c>
      <c r="Q7" s="4">
        <v>6.9566485792052033</v>
      </c>
      <c r="R7" s="4" t="s">
        <v>144</v>
      </c>
      <c r="S7" s="4">
        <v>6.0499928569201424</v>
      </c>
      <c r="T7" s="4">
        <v>238</v>
      </c>
      <c r="U7" s="4">
        <v>7.32</v>
      </c>
    </row>
    <row r="8" spans="1:21" x14ac:dyDescent="0.25">
      <c r="A8" s="1" t="s">
        <v>184</v>
      </c>
      <c r="B8" s="3">
        <v>-73.267388999999994</v>
      </c>
      <c r="C8" s="3">
        <v>5.6670559999999996</v>
      </c>
      <c r="D8" s="4">
        <v>211.63617164057902</v>
      </c>
      <c r="E8" s="4">
        <v>0.27100000000000002</v>
      </c>
      <c r="F8" s="4">
        <v>17.5</v>
      </c>
      <c r="G8" s="4">
        <v>685</v>
      </c>
      <c r="H8" s="4">
        <v>110.5</v>
      </c>
      <c r="I8" s="4">
        <v>0.26</v>
      </c>
      <c r="J8" s="4">
        <v>143</v>
      </c>
      <c r="K8" s="4">
        <v>55.4</v>
      </c>
      <c r="L8" s="4">
        <v>36.65</v>
      </c>
      <c r="M8" s="4">
        <v>9.0399999999999994E-3</v>
      </c>
      <c r="N8" s="4">
        <v>1.27</v>
      </c>
      <c r="O8" s="4">
        <v>5.5</v>
      </c>
      <c r="P8" s="4">
        <v>4.26</v>
      </c>
      <c r="Q8" s="4">
        <v>6.3424226808222066</v>
      </c>
      <c r="R8" s="4" t="s">
        <v>144</v>
      </c>
      <c r="S8" s="4">
        <v>6.3306166672944384</v>
      </c>
      <c r="T8" s="4">
        <v>229</v>
      </c>
      <c r="U8" s="4">
        <v>7.35</v>
      </c>
    </row>
    <row r="9" spans="1:21" x14ac:dyDescent="0.25">
      <c r="A9" s="1" t="s">
        <v>185</v>
      </c>
      <c r="B9" s="3">
        <v>-73.251835999999997</v>
      </c>
      <c r="C9" s="3">
        <v>5.6903389999999998</v>
      </c>
      <c r="D9" s="4">
        <v>208.00115133216903</v>
      </c>
      <c r="E9" s="4">
        <v>0.29799999999999999</v>
      </c>
      <c r="F9" s="4">
        <v>18.850000000000001</v>
      </c>
      <c r="G9" s="4">
        <v>559</v>
      </c>
      <c r="H9" s="4">
        <v>39.5</v>
      </c>
      <c r="I9" s="4">
        <v>5.0999999999999996</v>
      </c>
      <c r="J9" s="4">
        <v>30</v>
      </c>
      <c r="K9" s="4">
        <v>34.4</v>
      </c>
      <c r="L9" s="4">
        <v>19.600000000000001</v>
      </c>
      <c r="M9" s="4">
        <v>1.0999999999999999E-2</v>
      </c>
      <c r="N9" s="4">
        <v>1.6</v>
      </c>
      <c r="O9" s="4">
        <v>13.96</v>
      </c>
      <c r="P9" s="4">
        <v>1.38</v>
      </c>
      <c r="Q9" s="4">
        <v>5.9953345939028848</v>
      </c>
      <c r="R9" s="4" t="s">
        <v>144</v>
      </c>
      <c r="S9" s="4">
        <v>6.1351326513767752</v>
      </c>
      <c r="T9" s="4">
        <v>116</v>
      </c>
      <c r="U9" s="4">
        <v>7.3</v>
      </c>
    </row>
    <row r="10" spans="1:21" x14ac:dyDescent="0.25">
      <c r="A10" s="1" t="s">
        <v>186</v>
      </c>
      <c r="B10" s="3">
        <v>-73.222755000000006</v>
      </c>
      <c r="C10" s="3">
        <v>5.7078879999999996</v>
      </c>
      <c r="D10" s="4">
        <v>199.99489159219902</v>
      </c>
      <c r="E10" s="4">
        <v>1.7949999999999999</v>
      </c>
      <c r="F10" s="4">
        <v>17.55</v>
      </c>
      <c r="G10" s="4">
        <v>160</v>
      </c>
      <c r="H10" s="4">
        <v>18</v>
      </c>
      <c r="I10" s="4">
        <v>4.3000000000000007</v>
      </c>
      <c r="J10" s="4">
        <v>6</v>
      </c>
      <c r="K10" s="4">
        <v>6.72</v>
      </c>
      <c r="L10" s="4">
        <v>3.2850000000000001</v>
      </c>
      <c r="M10" s="4">
        <v>2.7E-2</v>
      </c>
      <c r="N10" s="4">
        <v>1.68</v>
      </c>
      <c r="O10" s="4">
        <v>0.59</v>
      </c>
      <c r="P10" s="4">
        <v>0.55000000000000004</v>
      </c>
      <c r="Q10" s="4">
        <v>4.204119982655925</v>
      </c>
      <c r="R10" s="4" t="s">
        <v>144</v>
      </c>
      <c r="S10" s="4">
        <v>3.7129021250472225</v>
      </c>
      <c r="T10" s="4">
        <v>35.6</v>
      </c>
      <c r="U10" s="4">
        <v>7.1849999999999996</v>
      </c>
    </row>
    <row r="11" spans="1:21" x14ac:dyDescent="0.25">
      <c r="A11" s="1" t="s">
        <v>187</v>
      </c>
      <c r="B11" s="3">
        <v>-73.200821000000005</v>
      </c>
      <c r="C11" s="3">
        <v>5.7373529999999997</v>
      </c>
      <c r="D11" s="4">
        <v>190.75123718602902</v>
      </c>
      <c r="E11" s="4">
        <v>2.1109100000000001</v>
      </c>
      <c r="F11" s="4">
        <v>17</v>
      </c>
      <c r="G11" s="4">
        <v>160</v>
      </c>
      <c r="H11" s="4">
        <v>26.15</v>
      </c>
      <c r="I11" s="4">
        <v>2.6</v>
      </c>
      <c r="J11" s="4">
        <v>7.25</v>
      </c>
      <c r="K11" s="4">
        <v>2.7</v>
      </c>
      <c r="L11" s="4">
        <v>1.51</v>
      </c>
      <c r="M11" s="4">
        <v>7.4999999999999997E-2</v>
      </c>
      <c r="N11" s="4">
        <v>1.867</v>
      </c>
      <c r="O11" s="4">
        <v>0.62</v>
      </c>
      <c r="P11" s="4">
        <v>0.53</v>
      </c>
      <c r="Q11" s="4">
        <v>4.1613230728956339</v>
      </c>
      <c r="R11" s="4" t="s">
        <v>144</v>
      </c>
      <c r="S11" s="4">
        <v>3.5855171277271247</v>
      </c>
      <c r="T11" s="4">
        <v>45.7</v>
      </c>
      <c r="U11" s="4">
        <v>6.8</v>
      </c>
    </row>
    <row r="12" spans="1:21" x14ac:dyDescent="0.25">
      <c r="A12" s="1" t="s">
        <v>132</v>
      </c>
      <c r="B12" s="3">
        <v>-73.189832999999993</v>
      </c>
      <c r="C12" s="3">
        <v>5.7486879999999996</v>
      </c>
      <c r="D12" s="4">
        <v>188.42083522082902</v>
      </c>
      <c r="E12" s="4">
        <v>2.78</v>
      </c>
      <c r="F12" s="4">
        <v>16.3</v>
      </c>
      <c r="G12" s="4">
        <v>182.5</v>
      </c>
      <c r="H12" s="4">
        <v>16</v>
      </c>
      <c r="I12" s="4">
        <v>4.4950000000000001</v>
      </c>
      <c r="J12" s="4">
        <v>5</v>
      </c>
      <c r="K12" s="4">
        <v>5.3</v>
      </c>
      <c r="L12" s="4">
        <v>1.67</v>
      </c>
      <c r="M12" s="4">
        <v>3.5999999999999997E-2</v>
      </c>
      <c r="N12" s="4">
        <v>1.796</v>
      </c>
      <c r="O12" s="4">
        <v>0.59</v>
      </c>
      <c r="P12" s="4">
        <v>0.57999999999999996</v>
      </c>
      <c r="Q12" s="4">
        <v>3.7129021250472225</v>
      </c>
      <c r="R12" s="4" t="s">
        <v>144</v>
      </c>
      <c r="S12" s="4">
        <v>3.0803739167013093</v>
      </c>
      <c r="T12" s="4">
        <v>28</v>
      </c>
      <c r="U12" s="4">
        <v>7.0949999999999998</v>
      </c>
    </row>
    <row r="13" spans="1:21" x14ac:dyDescent="0.25">
      <c r="A13" s="1" t="s">
        <v>188</v>
      </c>
      <c r="B13" s="3">
        <v>-73.160257000000001</v>
      </c>
      <c r="C13" s="3">
        <v>5.7589620000000004</v>
      </c>
      <c r="D13" s="4">
        <v>181.72804852729902</v>
      </c>
      <c r="E13" s="4">
        <v>7.431</v>
      </c>
      <c r="F13" s="4">
        <v>21.225000000000001</v>
      </c>
      <c r="G13" s="4">
        <v>173.5</v>
      </c>
      <c r="H13" s="4">
        <v>31</v>
      </c>
      <c r="I13" s="4">
        <v>4.5250000000000004</v>
      </c>
      <c r="J13" s="4">
        <v>9.5</v>
      </c>
      <c r="K13" s="4">
        <v>4.2</v>
      </c>
      <c r="L13" s="4">
        <v>0.75</v>
      </c>
      <c r="M13" s="4">
        <v>3.4799999999999998E-2</v>
      </c>
      <c r="N13" s="4">
        <v>3.9990000000000001</v>
      </c>
      <c r="O13" s="4">
        <v>0.63</v>
      </c>
      <c r="P13" s="4">
        <v>0.41049999999999998</v>
      </c>
      <c r="Q13" s="4">
        <v>4.0124153747624334</v>
      </c>
      <c r="R13" s="4" t="s">
        <v>144</v>
      </c>
      <c r="S13" s="4">
        <v>2.7792356316758635</v>
      </c>
      <c r="T13" s="4">
        <v>23.48</v>
      </c>
      <c r="U13" s="4">
        <v>7.34</v>
      </c>
    </row>
    <row r="14" spans="1:21" x14ac:dyDescent="0.25">
      <c r="A14" s="1" t="s">
        <v>189</v>
      </c>
      <c r="B14" s="3">
        <v>-73.126834000000002</v>
      </c>
      <c r="C14" s="3">
        <v>5.772519</v>
      </c>
      <c r="D14" s="4">
        <v>177.18509314917901</v>
      </c>
      <c r="E14" s="4">
        <v>2.75</v>
      </c>
      <c r="F14" s="4">
        <v>23.7</v>
      </c>
      <c r="G14" s="4">
        <v>147</v>
      </c>
      <c r="H14" s="4">
        <v>31.5</v>
      </c>
      <c r="I14" s="4">
        <v>5.15</v>
      </c>
      <c r="J14" s="4">
        <v>11</v>
      </c>
      <c r="K14" s="4">
        <v>2.58</v>
      </c>
      <c r="L14" s="4">
        <v>0.83000000000000007</v>
      </c>
      <c r="M14" s="4">
        <v>2.5499999999999998E-2</v>
      </c>
      <c r="N14" s="4">
        <v>2.13</v>
      </c>
      <c r="O14" s="4">
        <v>0.27</v>
      </c>
      <c r="P14" s="4">
        <v>0.19</v>
      </c>
      <c r="Q14" s="4">
        <v>3.2918792239146977</v>
      </c>
      <c r="R14" s="4" t="s">
        <v>144</v>
      </c>
      <c r="S14" s="4">
        <v>2.0060379549973173</v>
      </c>
      <c r="T14" s="4">
        <v>24.42</v>
      </c>
      <c r="U14" s="4">
        <v>7</v>
      </c>
    </row>
    <row r="15" spans="1:21" x14ac:dyDescent="0.25">
      <c r="A15" s="1" t="s">
        <v>133</v>
      </c>
      <c r="B15" s="3">
        <v>-73.107585</v>
      </c>
      <c r="C15" s="3">
        <v>5.7671950000000001</v>
      </c>
      <c r="D15" s="4">
        <v>174.23567705233901</v>
      </c>
      <c r="E15" s="4">
        <v>2.64472</v>
      </c>
      <c r="F15" s="4">
        <v>24.1</v>
      </c>
      <c r="G15" s="4">
        <v>221</v>
      </c>
      <c r="H15" s="4">
        <v>44</v>
      </c>
      <c r="I15" s="4">
        <v>4.2</v>
      </c>
      <c r="J15" s="4">
        <v>12</v>
      </c>
      <c r="K15" s="4">
        <v>4.5</v>
      </c>
      <c r="L15" s="4">
        <v>1</v>
      </c>
      <c r="M15" s="4">
        <v>6.6000000000000003E-2</v>
      </c>
      <c r="N15" s="4">
        <v>2.5</v>
      </c>
      <c r="O15" s="4">
        <v>0.39</v>
      </c>
      <c r="P15" s="4">
        <v>0.3</v>
      </c>
      <c r="Q15" s="4">
        <v>4.1346869925568539</v>
      </c>
      <c r="R15" s="4" t="s">
        <v>144</v>
      </c>
      <c r="S15" s="4">
        <v>4.637804828912615</v>
      </c>
      <c r="T15" s="4">
        <v>23.4</v>
      </c>
      <c r="U15" s="4">
        <v>7.26</v>
      </c>
    </row>
    <row r="16" spans="1:21" x14ac:dyDescent="0.25">
      <c r="A16" s="1" t="s">
        <v>190</v>
      </c>
      <c r="B16" s="3">
        <v>-73.050809000000001</v>
      </c>
      <c r="C16" s="3">
        <v>5.7738370000000003</v>
      </c>
      <c r="D16" s="4">
        <v>164.992277550079</v>
      </c>
      <c r="E16" s="4">
        <v>2.46</v>
      </c>
      <c r="F16" s="4">
        <v>22.3</v>
      </c>
      <c r="G16" s="4">
        <v>338</v>
      </c>
      <c r="H16" s="4">
        <v>33</v>
      </c>
      <c r="I16" s="4">
        <v>4.2249999999999996</v>
      </c>
      <c r="J16" s="4">
        <v>6</v>
      </c>
      <c r="K16" s="4">
        <v>2.58</v>
      </c>
      <c r="L16" s="4">
        <v>0.90450000000000008</v>
      </c>
      <c r="M16" s="4">
        <v>6.2199999999999998E-2</v>
      </c>
      <c r="N16" s="4">
        <v>2.8</v>
      </c>
      <c r="O16" s="4">
        <v>0.31</v>
      </c>
      <c r="P16" s="4">
        <v>0.18</v>
      </c>
      <c r="Q16" s="4">
        <v>4.2387735017206962</v>
      </c>
      <c r="R16" s="4" t="s">
        <v>144</v>
      </c>
      <c r="S16" s="4">
        <v>3.2807945533237488</v>
      </c>
      <c r="T16" s="4">
        <v>34.270000000000003</v>
      </c>
      <c r="U16" s="4">
        <v>7.21</v>
      </c>
    </row>
    <row r="17" spans="1:21" x14ac:dyDescent="0.25">
      <c r="A17" s="1" t="s">
        <v>134</v>
      </c>
      <c r="B17" s="3">
        <v>-73.014461999999995</v>
      </c>
      <c r="C17" s="3">
        <v>5.8078560000000001</v>
      </c>
      <c r="D17" s="4">
        <v>156.435246450129</v>
      </c>
      <c r="E17" s="4">
        <v>2.21</v>
      </c>
      <c r="F17" s="4">
        <v>20.100000000000001</v>
      </c>
      <c r="G17" s="4">
        <v>305</v>
      </c>
      <c r="H17" s="4">
        <v>32.5</v>
      </c>
      <c r="I17" s="4">
        <v>6</v>
      </c>
      <c r="J17" s="4">
        <v>11</v>
      </c>
      <c r="K17" s="4">
        <v>2</v>
      </c>
      <c r="L17" s="4">
        <v>0.86499999999999999</v>
      </c>
      <c r="M17" s="4">
        <v>7.1999999999999995E-2</v>
      </c>
      <c r="N17" s="4">
        <v>1.7932999999999999</v>
      </c>
      <c r="O17" s="4">
        <v>0.184</v>
      </c>
      <c r="P17" s="4">
        <v>0.15</v>
      </c>
      <c r="Q17" s="4">
        <v>3.6148972160331345</v>
      </c>
      <c r="R17" s="4" t="s">
        <v>144</v>
      </c>
      <c r="S17" s="4">
        <v>3.3579443708978216</v>
      </c>
      <c r="T17" s="4">
        <v>39.9</v>
      </c>
      <c r="U17" s="4">
        <v>7.3949999999999996</v>
      </c>
    </row>
    <row r="18" spans="1:21" x14ac:dyDescent="0.25">
      <c r="A18" s="1" t="s">
        <v>191</v>
      </c>
      <c r="B18" s="3">
        <v>-72.980500000000006</v>
      </c>
      <c r="C18" s="3">
        <v>5.778778</v>
      </c>
      <c r="D18" s="4">
        <v>149.16380403532901</v>
      </c>
      <c r="E18" s="4">
        <v>2.17</v>
      </c>
      <c r="F18" s="4">
        <v>21.3</v>
      </c>
      <c r="G18" s="4">
        <v>335</v>
      </c>
      <c r="H18" s="4">
        <v>46.5</v>
      </c>
      <c r="I18" s="4">
        <v>5</v>
      </c>
      <c r="J18" s="4">
        <v>6</v>
      </c>
      <c r="K18" s="4">
        <v>2.58</v>
      </c>
      <c r="L18" s="4">
        <v>0.625</v>
      </c>
      <c r="M18" s="4">
        <v>6.0999999999999999E-2</v>
      </c>
      <c r="N18" s="4">
        <v>2.27</v>
      </c>
      <c r="O18" s="4">
        <v>0.15</v>
      </c>
      <c r="P18" s="4">
        <v>0.15</v>
      </c>
      <c r="Q18" s="4">
        <v>3.7008334670285428</v>
      </c>
      <c r="R18" s="4" t="s">
        <v>144</v>
      </c>
      <c r="S18" s="4">
        <v>2.3968093725543818</v>
      </c>
      <c r="T18" s="4">
        <v>36.9</v>
      </c>
      <c r="U18" s="4">
        <v>7.53</v>
      </c>
    </row>
    <row r="19" spans="1:21" x14ac:dyDescent="0.25">
      <c r="A19" s="1" t="s">
        <v>192</v>
      </c>
      <c r="B19" s="3">
        <v>-72.938610999999995</v>
      </c>
      <c r="C19" s="3">
        <v>5.750972</v>
      </c>
      <c r="D19" s="4">
        <v>140.35656863419899</v>
      </c>
      <c r="E19" s="4">
        <v>1.964</v>
      </c>
      <c r="F19" s="4">
        <v>19.899999999999999</v>
      </c>
      <c r="G19" s="4">
        <v>435</v>
      </c>
      <c r="H19" s="4">
        <v>59.5</v>
      </c>
      <c r="I19" s="4">
        <v>6</v>
      </c>
      <c r="J19" s="4">
        <v>11</v>
      </c>
      <c r="K19" s="4">
        <v>2.58</v>
      </c>
      <c r="L19" s="4">
        <v>0.625</v>
      </c>
      <c r="M19" s="4">
        <v>4.9200000000000001E-2</v>
      </c>
      <c r="N19" s="4">
        <v>2.1</v>
      </c>
      <c r="O19" s="4">
        <v>0.15</v>
      </c>
      <c r="P19" s="4">
        <v>0.15</v>
      </c>
      <c r="Q19" s="4">
        <v>3.7265642161622448</v>
      </c>
      <c r="R19" s="4" t="s">
        <v>144</v>
      </c>
      <c r="S19" s="4">
        <v>2.7875313161272341</v>
      </c>
      <c r="T19" s="4">
        <v>38.96</v>
      </c>
      <c r="U19" s="4">
        <v>7.3949999999999996</v>
      </c>
    </row>
    <row r="20" spans="1:21" x14ac:dyDescent="0.25">
      <c r="A20" s="1" t="s">
        <v>193</v>
      </c>
      <c r="B20" s="3">
        <v>-72.912936999999999</v>
      </c>
      <c r="C20" s="3">
        <v>5.7575539999999998</v>
      </c>
      <c r="D20" s="4">
        <v>136.38863025190901</v>
      </c>
      <c r="E20" s="4">
        <v>3.9079999999999999</v>
      </c>
      <c r="F20" s="4">
        <v>19.600000000000001</v>
      </c>
      <c r="G20" s="4">
        <v>623.5</v>
      </c>
      <c r="H20" s="4">
        <v>104.5</v>
      </c>
      <c r="I20" s="4">
        <v>4.62</v>
      </c>
      <c r="J20" s="4">
        <v>28</v>
      </c>
      <c r="K20" s="4">
        <v>1.65</v>
      </c>
      <c r="L20" s="4">
        <v>1</v>
      </c>
      <c r="M20" s="4">
        <v>0.03</v>
      </c>
      <c r="N20" s="4">
        <v>1.99</v>
      </c>
      <c r="O20" s="4">
        <v>0.46</v>
      </c>
      <c r="P20" s="4">
        <v>0.25</v>
      </c>
      <c r="Q20" s="4">
        <v>4.970114322285097</v>
      </c>
      <c r="R20" s="4" t="s">
        <v>144</v>
      </c>
      <c r="S20" s="4">
        <v>4.1701149694966517</v>
      </c>
      <c r="T20" s="4">
        <v>47.5</v>
      </c>
      <c r="U20" s="4">
        <v>7.71</v>
      </c>
    </row>
    <row r="21" spans="1:21" x14ac:dyDescent="0.25">
      <c r="A21" s="1" t="s">
        <v>135</v>
      </c>
      <c r="B21" s="3">
        <v>-72.906800000000004</v>
      </c>
      <c r="C21" s="3">
        <v>5.759557</v>
      </c>
      <c r="D21" s="4">
        <v>135.66660396627</v>
      </c>
      <c r="E21" s="4">
        <v>2.5059999999999998</v>
      </c>
      <c r="F21" s="4">
        <v>20.350000000000001</v>
      </c>
      <c r="G21" s="4">
        <v>738</v>
      </c>
      <c r="H21" s="4">
        <v>57</v>
      </c>
      <c r="I21" s="4">
        <v>3.1</v>
      </c>
      <c r="J21" s="4">
        <v>20</v>
      </c>
      <c r="K21" s="4">
        <v>9.5</v>
      </c>
      <c r="L21" s="4">
        <v>5.55</v>
      </c>
      <c r="M21" s="4">
        <v>1.95E-2</v>
      </c>
      <c r="N21" s="4">
        <v>1.454</v>
      </c>
      <c r="O21" s="4">
        <v>1.05</v>
      </c>
      <c r="P21" s="4">
        <v>0.72</v>
      </c>
      <c r="Q21" s="4">
        <v>5.1284154252060397</v>
      </c>
      <c r="R21" s="4" t="s">
        <v>144</v>
      </c>
      <c r="S21" s="4">
        <v>4.4487063199050798</v>
      </c>
      <c r="T21" s="4">
        <v>95.17</v>
      </c>
      <c r="U21" s="4">
        <v>7.35</v>
      </c>
    </row>
    <row r="22" spans="1:21" x14ac:dyDescent="0.25">
      <c r="A22" s="1" t="s">
        <v>194</v>
      </c>
      <c r="B22" s="3">
        <v>-72.866444000000001</v>
      </c>
      <c r="C22" s="3">
        <v>5.7688610000000002</v>
      </c>
      <c r="D22" s="4">
        <v>130.79922221563999</v>
      </c>
      <c r="E22" s="4">
        <v>2.6259999999999999</v>
      </c>
      <c r="F22" s="4">
        <v>19.350000000000001</v>
      </c>
      <c r="G22" s="4">
        <v>1155</v>
      </c>
      <c r="H22" s="4">
        <v>65.5</v>
      </c>
      <c r="I22" s="4">
        <v>2.15</v>
      </c>
      <c r="J22" s="4">
        <v>16.100000000000001</v>
      </c>
      <c r="K22" s="4">
        <v>9.6999999999999993</v>
      </c>
      <c r="L22" s="4">
        <v>7.35</v>
      </c>
      <c r="M22" s="4">
        <v>2.4799999999999999E-2</v>
      </c>
      <c r="N22" s="4">
        <v>1.07</v>
      </c>
      <c r="O22" s="4">
        <v>1.03</v>
      </c>
      <c r="P22" s="4">
        <v>0.72</v>
      </c>
      <c r="Q22" s="4">
        <v>5.2938043599193367</v>
      </c>
      <c r="R22" s="4" t="s">
        <v>144</v>
      </c>
      <c r="S22" s="4">
        <v>4.8651039746411282</v>
      </c>
      <c r="T22" s="4">
        <v>124.44</v>
      </c>
      <c r="U22" s="4">
        <v>7.25</v>
      </c>
    </row>
    <row r="23" spans="1:21" x14ac:dyDescent="0.25">
      <c r="A23" s="1" t="s">
        <v>195</v>
      </c>
      <c r="B23" s="3">
        <v>-72.834906000000004</v>
      </c>
      <c r="C23" s="3">
        <v>5.7904970000000002</v>
      </c>
      <c r="D23" s="4">
        <v>126.1221858534</v>
      </c>
      <c r="E23" s="4">
        <v>4.5430000000000001</v>
      </c>
      <c r="F23" s="4">
        <v>18.55</v>
      </c>
      <c r="G23" s="4">
        <v>765</v>
      </c>
      <c r="H23" s="4">
        <v>81.2</v>
      </c>
      <c r="I23" s="4">
        <v>5.2549999999999999</v>
      </c>
      <c r="J23" s="4">
        <v>11.15</v>
      </c>
      <c r="K23" s="4">
        <v>7</v>
      </c>
      <c r="L23" s="4">
        <v>3.9215</v>
      </c>
      <c r="M23" s="4">
        <v>3.3599999999999998E-2</v>
      </c>
      <c r="N23" s="4">
        <v>1.3637999999999999</v>
      </c>
      <c r="O23" s="4">
        <v>0.38</v>
      </c>
      <c r="P23" s="4">
        <v>0.28000000000000003</v>
      </c>
      <c r="Q23" s="4">
        <v>5.0323366598457353</v>
      </c>
      <c r="R23" s="4" t="s">
        <v>144</v>
      </c>
      <c r="S23" s="4">
        <v>4.7315887651867383</v>
      </c>
      <c r="T23" s="4">
        <v>58.18</v>
      </c>
      <c r="U23" s="4">
        <v>7.6</v>
      </c>
    </row>
    <row r="24" spans="1:21" x14ac:dyDescent="0.25">
      <c r="A24" s="1" t="s">
        <v>196</v>
      </c>
      <c r="B24" s="3">
        <v>-72.842225999999997</v>
      </c>
      <c r="C24" s="3">
        <v>5.8292270000000004</v>
      </c>
      <c r="D24" s="4">
        <v>121.01787511345</v>
      </c>
      <c r="E24" s="4">
        <v>10.755599999999999</v>
      </c>
      <c r="F24" s="4">
        <v>18.8</v>
      </c>
      <c r="G24" s="4">
        <v>390.5</v>
      </c>
      <c r="H24" s="4">
        <v>46.75</v>
      </c>
      <c r="I24" s="4">
        <v>6</v>
      </c>
      <c r="J24" s="4">
        <v>20</v>
      </c>
      <c r="K24" s="4">
        <v>5.16</v>
      </c>
      <c r="L24" s="4">
        <v>1.5449999999999999</v>
      </c>
      <c r="M24" s="4">
        <v>4.1000000000000002E-2</v>
      </c>
      <c r="N24" s="4">
        <v>1.2</v>
      </c>
      <c r="O24" s="4">
        <v>0.28000000000000003</v>
      </c>
      <c r="P24" s="4">
        <v>0.2</v>
      </c>
      <c r="Q24" s="4">
        <v>4.6822353569025639</v>
      </c>
      <c r="R24" s="4" t="s">
        <v>144</v>
      </c>
      <c r="S24" s="4">
        <v>4.2430380486862944</v>
      </c>
      <c r="T24" s="4">
        <v>39.17</v>
      </c>
      <c r="U24" s="4">
        <v>7.6</v>
      </c>
    </row>
    <row r="25" spans="1:21" x14ac:dyDescent="0.25">
      <c r="A25" s="1" t="s">
        <v>197</v>
      </c>
      <c r="B25" s="3">
        <v>-72.799347999999995</v>
      </c>
      <c r="C25" s="3">
        <v>5.9061279999999998</v>
      </c>
      <c r="D25" s="4">
        <v>107.96438346565</v>
      </c>
      <c r="E25" s="4">
        <v>10.289260000000001</v>
      </c>
      <c r="F25" s="4">
        <v>18.7</v>
      </c>
      <c r="G25" s="4">
        <v>530</v>
      </c>
      <c r="H25" s="4">
        <v>76.5</v>
      </c>
      <c r="I25" s="4">
        <v>6</v>
      </c>
      <c r="J25" s="4">
        <v>11</v>
      </c>
      <c r="K25" s="4">
        <v>4.4000000000000004</v>
      </c>
      <c r="L25" s="4">
        <v>1.355</v>
      </c>
      <c r="M25" s="4">
        <v>9.5000000000000001E-2</v>
      </c>
      <c r="N25" s="4">
        <v>2.1</v>
      </c>
      <c r="O25" s="4">
        <v>0.22</v>
      </c>
      <c r="P25" s="4">
        <v>0.15</v>
      </c>
      <c r="Q25" s="4">
        <v>4.1604685311190375</v>
      </c>
      <c r="R25" s="4" t="s">
        <v>144</v>
      </c>
      <c r="S25" s="4">
        <v>2.8615344108590377</v>
      </c>
      <c r="T25" s="4">
        <v>33</v>
      </c>
      <c r="U25" s="4">
        <v>7.7149999999999999</v>
      </c>
    </row>
    <row r="26" spans="1:21" x14ac:dyDescent="0.25">
      <c r="A26" s="1" t="s">
        <v>198</v>
      </c>
      <c r="B26" s="3">
        <v>-72.740459999999999</v>
      </c>
      <c r="C26" s="3">
        <v>5.9885489999999999</v>
      </c>
      <c r="D26" s="4">
        <v>94.045833053949991</v>
      </c>
      <c r="E26" s="4">
        <v>13.308999999999999</v>
      </c>
      <c r="F26" s="4">
        <v>17.95</v>
      </c>
      <c r="G26" s="4">
        <v>279.5</v>
      </c>
      <c r="H26" s="4">
        <v>72.5</v>
      </c>
      <c r="I26" s="4">
        <v>5.63</v>
      </c>
      <c r="J26" s="4">
        <v>5</v>
      </c>
      <c r="K26" s="4">
        <v>2.58</v>
      </c>
      <c r="L26" s="4">
        <v>0.7</v>
      </c>
      <c r="M26" s="4">
        <v>4.7100000000000003E-2</v>
      </c>
      <c r="N26" s="4">
        <v>1.75</v>
      </c>
      <c r="O26" s="4">
        <v>0.15</v>
      </c>
      <c r="P26" s="4">
        <v>0.15</v>
      </c>
      <c r="Q26" s="4">
        <v>4.1579249613578844</v>
      </c>
      <c r="R26" s="4" t="s">
        <v>144</v>
      </c>
      <c r="S26" s="4">
        <v>3.6875289612146345</v>
      </c>
      <c r="T26" s="4">
        <v>33.1</v>
      </c>
      <c r="U26" s="4">
        <v>7.5549999999999997</v>
      </c>
    </row>
    <row r="27" spans="1:21" x14ac:dyDescent="0.25">
      <c r="A27" s="1" t="s">
        <v>199</v>
      </c>
      <c r="B27" s="3">
        <v>-72.701712999999998</v>
      </c>
      <c r="C27" s="3">
        <v>6.0160640000000001</v>
      </c>
      <c r="D27" s="4">
        <v>88.102082870250001</v>
      </c>
      <c r="E27" s="4">
        <v>13.765000000000001</v>
      </c>
      <c r="F27" s="4">
        <v>17.5</v>
      </c>
      <c r="G27" s="4">
        <v>268.5</v>
      </c>
      <c r="H27" s="4">
        <v>75</v>
      </c>
      <c r="I27" s="4">
        <v>6.25</v>
      </c>
      <c r="J27" s="4">
        <v>10</v>
      </c>
      <c r="K27" s="4">
        <v>2</v>
      </c>
      <c r="L27" s="4">
        <v>0.63450000000000006</v>
      </c>
      <c r="M27" s="4">
        <v>2.6599999999999999E-2</v>
      </c>
      <c r="N27" s="4">
        <v>1.9254</v>
      </c>
      <c r="O27" s="4">
        <v>0.23</v>
      </c>
      <c r="P27" s="4">
        <v>0.15</v>
      </c>
      <c r="Q27" s="4">
        <v>4.3227360044699497</v>
      </c>
      <c r="R27" s="4" t="s">
        <v>144</v>
      </c>
      <c r="S27" s="4">
        <v>3.1360860973840974</v>
      </c>
      <c r="T27" s="4">
        <v>28</v>
      </c>
      <c r="U27" s="4">
        <v>7.5449999999999999</v>
      </c>
    </row>
    <row r="28" spans="1:21" x14ac:dyDescent="0.25">
      <c r="A28" s="1" t="s">
        <v>200</v>
      </c>
      <c r="B28" s="3">
        <v>-72.642917999999995</v>
      </c>
      <c r="C28" s="3">
        <v>6.284446</v>
      </c>
      <c r="D28" s="4">
        <v>51.910134473249997</v>
      </c>
      <c r="E28" s="4">
        <v>22.76</v>
      </c>
      <c r="F28" s="4">
        <v>22.7</v>
      </c>
      <c r="G28" s="4">
        <v>264</v>
      </c>
      <c r="H28" s="4">
        <v>224.5</v>
      </c>
      <c r="I28" s="4">
        <v>6.4</v>
      </c>
      <c r="J28" s="4">
        <v>10.3</v>
      </c>
      <c r="K28" s="4">
        <v>2</v>
      </c>
      <c r="L28" s="4">
        <v>0.64999999999999991</v>
      </c>
      <c r="M28" s="4">
        <v>9.7199999999999995E-3</v>
      </c>
      <c r="N28" s="4">
        <v>1.03</v>
      </c>
      <c r="O28" s="4">
        <v>0.37</v>
      </c>
      <c r="P28" s="4">
        <v>0.15</v>
      </c>
      <c r="Q28" s="4">
        <v>4.1425458840862763</v>
      </c>
      <c r="R28" s="4" t="s">
        <v>144</v>
      </c>
      <c r="S28" s="4">
        <v>2.716003343634799</v>
      </c>
      <c r="T28" s="4">
        <v>44.5</v>
      </c>
      <c r="U28" s="4">
        <v>7.8</v>
      </c>
    </row>
    <row r="29" spans="1:21" x14ac:dyDescent="0.25">
      <c r="A29" s="1" t="s">
        <v>201</v>
      </c>
      <c r="B29" s="3">
        <v>-72.649056000000002</v>
      </c>
      <c r="C29" s="3">
        <v>6.3222139999999998</v>
      </c>
      <c r="D29" s="4">
        <v>47.187759201999995</v>
      </c>
      <c r="E29" s="4">
        <v>22.8</v>
      </c>
      <c r="F29" s="4">
        <v>20.3</v>
      </c>
      <c r="G29" s="4">
        <v>251</v>
      </c>
      <c r="H29" s="4">
        <v>171.5</v>
      </c>
      <c r="I29" s="4">
        <v>6.4</v>
      </c>
      <c r="J29" s="4">
        <v>12</v>
      </c>
      <c r="K29" s="4">
        <v>2.58</v>
      </c>
      <c r="L29" s="4">
        <v>0.875</v>
      </c>
      <c r="M29" s="4">
        <v>3.5000000000000001E-3</v>
      </c>
      <c r="N29" s="4">
        <v>1.0057</v>
      </c>
      <c r="O29" s="4">
        <v>0.15</v>
      </c>
      <c r="P29" s="4">
        <v>0.15</v>
      </c>
      <c r="Q29" s="4">
        <v>3.7564078725489582</v>
      </c>
      <c r="R29" s="4" t="s">
        <v>144</v>
      </c>
      <c r="S29" s="4">
        <v>2.3188977146274867</v>
      </c>
      <c r="T29" s="4">
        <v>50.5</v>
      </c>
      <c r="U29" s="4">
        <v>7.6</v>
      </c>
    </row>
    <row r="30" spans="1:21" x14ac:dyDescent="0.25">
      <c r="A30" s="1" t="s">
        <v>202</v>
      </c>
      <c r="B30" s="3">
        <v>-72.693279000000004</v>
      </c>
      <c r="C30" s="3">
        <v>6.5132139999999996</v>
      </c>
      <c r="D30" s="4">
        <v>22.573751481300008</v>
      </c>
      <c r="E30" s="4">
        <v>30.029</v>
      </c>
      <c r="F30" s="4">
        <v>21.7</v>
      </c>
      <c r="G30" s="4">
        <v>267.5</v>
      </c>
      <c r="H30" s="4">
        <v>351</v>
      </c>
      <c r="I30" s="4">
        <v>7.05</v>
      </c>
      <c r="J30" s="4">
        <v>10.32</v>
      </c>
      <c r="K30" s="4">
        <v>2.58</v>
      </c>
      <c r="L30" s="4">
        <v>0.875</v>
      </c>
      <c r="M30" s="4">
        <v>6.8999999999999999E-3</v>
      </c>
      <c r="N30" s="4">
        <v>0.61040000000000005</v>
      </c>
      <c r="O30" s="4">
        <v>0.46</v>
      </c>
      <c r="P30" s="4">
        <v>0.15</v>
      </c>
      <c r="Q30" s="4">
        <v>4.4251264705087738</v>
      </c>
      <c r="R30" s="4" t="s">
        <v>144</v>
      </c>
      <c r="S30" s="4">
        <v>2.8692317197309762</v>
      </c>
      <c r="T30" s="4">
        <v>62.6</v>
      </c>
      <c r="U30" s="4">
        <v>7.96</v>
      </c>
    </row>
    <row r="31" spans="1:21" x14ac:dyDescent="0.25">
      <c r="F31" s="4"/>
    </row>
    <row r="32" spans="1:21" x14ac:dyDescent="0.25">
      <c r="F32" s="4"/>
    </row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REACHES</vt:lpstr>
      <vt:lpstr>SOURCES</vt:lpstr>
      <vt:lpstr>WQ_DATA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DAVID TORRES PIRAQUIVE</dc:creator>
  <cp:lastModifiedBy>SERGIO DAVID TORRES PIRAQUIVE</cp:lastModifiedBy>
  <dcterms:created xsi:type="dcterms:W3CDTF">2025-11-07T16:58:47Z</dcterms:created>
  <dcterms:modified xsi:type="dcterms:W3CDTF">2026-01-07T15:17:57Z</dcterms:modified>
</cp:coreProperties>
</file>