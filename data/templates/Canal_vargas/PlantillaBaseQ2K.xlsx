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Codigos_proyectos\PyQ2K\data\templates\Canal_vargas\Comprobacion\"/>
    </mc:Choice>
  </mc:AlternateContent>
  <xr:revisionPtr revIDLastSave="0" documentId="13_ncr:1_{70D98103-379B-4EF8-9CD6-4D2D960E0C71}" xr6:coauthVersionLast="47" xr6:coauthVersionMax="47" xr10:uidLastSave="{00000000-0000-0000-0000-000000000000}"/>
  <bookViews>
    <workbookView xWindow="-108" yWindow="-108" windowWidth="23256" windowHeight="12456" activeTab="2" xr2:uid="{7CAB968E-70C7-47AF-B60B-C3245F72BAF9}"/>
  </bookViews>
  <sheets>
    <sheet name="REACHES" sheetId="1" r:id="rId1"/>
    <sheet name="SOURCES" sheetId="2" r:id="rId2"/>
    <sheet name="WQ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" i="2" l="1"/>
  <c r="Y5" i="2"/>
  <c r="Y6" i="2"/>
  <c r="Y7" i="2"/>
  <c r="Y8" i="2"/>
  <c r="Y9" i="2"/>
  <c r="Y12" i="2"/>
  <c r="Y17" i="2"/>
  <c r="Y18" i="2"/>
  <c r="Y19" i="2"/>
  <c r="F15" i="2"/>
  <c r="F3" i="2" l="1"/>
  <c r="F2" i="2"/>
  <c r="N10" i="2" l="1"/>
  <c r="V9" i="2"/>
  <c r="J9" i="2"/>
  <c r="H9" i="2"/>
  <c r="G9" i="2"/>
</calcChain>
</file>

<file path=xl/sharedStrings.xml><?xml version="1.0" encoding="utf-8"?>
<sst xmlns="http://schemas.openxmlformats.org/spreadsheetml/2006/main" count="127" uniqueCount="80">
  <si>
    <t>NOMBRE_TRAMO</t>
  </si>
  <si>
    <t>TRAMO_1</t>
  </si>
  <si>
    <t>FUENTE_PRINCIPAL</t>
  </si>
  <si>
    <t>X</t>
  </si>
  <si>
    <t>Y</t>
  </si>
  <si>
    <t>X_ARRIBA</t>
  </si>
  <si>
    <t>Y_ARRIBA</t>
  </si>
  <si>
    <t>X_ABAJO</t>
  </si>
  <si>
    <t>Y_ABAJO</t>
  </si>
  <si>
    <t>ALPHA_1</t>
  </si>
  <si>
    <t>BETA_1</t>
  </si>
  <si>
    <t>ALPHA_2</t>
  </si>
  <si>
    <t>BETA_2</t>
  </si>
  <si>
    <t>ELEV_ARRIBA</t>
  </si>
  <si>
    <t>ELEV_ABAJO</t>
  </si>
  <si>
    <t>NOMBRE_VERTIMIENTO</t>
  </si>
  <si>
    <t>X_QUAL2K</t>
  </si>
  <si>
    <t>CAUDAL</t>
  </si>
  <si>
    <t>CONDUCTIVIDAD</t>
  </si>
  <si>
    <t>SST</t>
  </si>
  <si>
    <t>OXIGENO_DISUELTO</t>
  </si>
  <si>
    <t>DBO5</t>
  </si>
  <si>
    <t>NTK</t>
  </si>
  <si>
    <t>NITROGENO_AMONIACAL</t>
  </si>
  <si>
    <t>NITRITOS</t>
  </si>
  <si>
    <t>NITRATOS</t>
  </si>
  <si>
    <t>FOSFORO_TOTAL</t>
  </si>
  <si>
    <t>ORTOFOSFATOS</t>
  </si>
  <si>
    <t>COLIFORMES_TOTALES</t>
  </si>
  <si>
    <t>COLIFORMES_TERMOTOLERANTES</t>
  </si>
  <si>
    <t>E_COLI</t>
  </si>
  <si>
    <t>ALCALINIDAD</t>
  </si>
  <si>
    <t>pH</t>
  </si>
  <si>
    <t>NOMBRE_ESTACIONES</t>
  </si>
  <si>
    <t>X_QUAL2K_ARRIBA</t>
  </si>
  <si>
    <t>X_QUAL2K_ABAJO</t>
  </si>
  <si>
    <t>TEMPERATURA</t>
  </si>
  <si>
    <t>TIPO</t>
  </si>
  <si>
    <t>VERTIMIENTO</t>
  </si>
  <si>
    <t>EST_ARRIBA</t>
  </si>
  <si>
    <t>EST_ABAJO</t>
  </si>
  <si>
    <t>SOMBRA_[-]</t>
  </si>
  <si>
    <t>TEMPERATURA_[C]</t>
  </si>
  <si>
    <t>TEMPERATURA_ROCIO_[C]</t>
  </si>
  <si>
    <t>VELOCIDAD_DEL_VIENTO_[MS]</t>
  </si>
  <si>
    <t>COBERTURA_NUBES_[-]</t>
  </si>
  <si>
    <t>CABECERA</t>
  </si>
  <si>
    <t>PLANTA DE BENEFICIO FRIGOCENTRO CACIQUE TUNDAMA</t>
  </si>
  <si>
    <t>BAVARIA S.A.</t>
  </si>
  <si>
    <t>MUNICIPIO DE DUITAMA ESTACIÓN ELEVADORA</t>
  </si>
  <si>
    <t xml:space="preserve">MUNICIPIO DE DUITAMA CANELLON NARVAEZ </t>
  </si>
  <si>
    <t>MUNICIPIO DE DUITAMA CV IGLESIA</t>
  </si>
  <si>
    <t>MUNICIPIO DE DUITAMA CV 40</t>
  </si>
  <si>
    <t>MUNICIPIO DE DUITAMA CV 45</t>
  </si>
  <si>
    <t xml:space="preserve">MUNICIPIO DE DUITAMA CACIQUE TUNDAMA </t>
  </si>
  <si>
    <t>MUNICIPIO DE DUITAMA CAMILO TORRES</t>
  </si>
  <si>
    <t xml:space="preserve">MUNICIPIO DE DUITAMA CV CALLE 21 </t>
  </si>
  <si>
    <t>MUNICIPIO DE DUITAMA CV 56 SIFÓN INVERTIDO</t>
  </si>
  <si>
    <t xml:space="preserve">MUNICIPIO TIBASOSA SALIDA </t>
  </si>
  <si>
    <t>MUNICIPIO TIBASOSA BYPASS</t>
  </si>
  <si>
    <t>MUNICIPIO TIBASOSA CENTRO POBLADO SANTA TERESA</t>
  </si>
  <si>
    <t>Q. AROMA</t>
  </si>
  <si>
    <t>CANAL VARGAS</t>
  </si>
  <si>
    <t>MUNICIPIO DE DUITAMA CV CALLE 19 JUAN GRANDE</t>
  </si>
  <si>
    <t>TRAMO_2</t>
  </si>
  <si>
    <t>TRAMO_3</t>
  </si>
  <si>
    <t>CANAL VARGAS ANTES DEL PUENTE LA BALSA  DUITAMA</t>
  </si>
  <si>
    <t>CANAL VARGAS ANTES DE LA DESCARGA DEL SENA  DUITAMA</t>
  </si>
  <si>
    <t>CANAL VARGAS ANTES DE LA DESCARGA DE LA ESTACIÓN ELEVADORA DUITAMA</t>
  </si>
  <si>
    <t>CANAL VARGAS ANTES DE LA UNIÓN CON LA QUEBRADA AROMA  DUITAMA</t>
  </si>
  <si>
    <t>CANAL VARGAS ANTES DE LA DESCARGA CABEZAL CV 40  DUITAMA</t>
  </si>
  <si>
    <t>CANAL VARGAS ANTES DE LA DESCARGA DE LA CALLE 21  DUITAMA</t>
  </si>
  <si>
    <t>CANAL VARGAS ANTES DEL SIFÓN 1 DUITAMA</t>
  </si>
  <si>
    <t>CANAL VARGAS DESPUÉS DE LA GLORIETA DE TIBASOSA TIBASOSA</t>
  </si>
  <si>
    <t>VERTIMIENTO 1 PAIPA CANAL</t>
  </si>
  <si>
    <t xml:space="preserve">VERTIMIENTO 2 ZANJA CANAL </t>
  </si>
  <si>
    <t>SERVICE TRUCK MATEUS FUQUEN</t>
  </si>
  <si>
    <t>TRAMO_4</t>
  </si>
  <si>
    <t>CV CARRETERA DESTAPADA</t>
  </si>
  <si>
    <t>FINAL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</si>
</sst>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Century Gothic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wrapText="1"/>
    </xf>
    <xf numFmtId="11" fontId="0" fillId="0" borderId="0" xfId="0" applyNumberFormat="1" applyAlignment="1">
      <alignment horizontal="right" wrapText="1"/>
    </xf>
    <xf numFmtId="2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/>
    </xf>
    <xf numFmtId="2" fontId="0" fillId="0" borderId="0" xfId="0" applyNumberFormat="1"/>
    <xf numFmtId="0" fontId="7" fillId="0" borderId="0" xfId="0" applyFont="1"/>
    <xf numFmtId="2" fontId="2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</cellXfs>
  <cellStyles count="2">
    <cellStyle name="Normal" xfId="0" builtinId="0"/>
    <cellStyle name="Normal 2" xfId="1" xr:uid="{1E448513-AECF-4DF6-9944-618EDAC9F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B90-F6BE-451C-A024-0FD774F3F607}">
  <sheetPr codeName="Hoja1"/>
  <dimension ref="A1:U11"/>
  <sheetViews>
    <sheetView workbookViewId="0">
      <selection activeCell="M2" sqref="M2"/>
    </sheetView>
  </sheetViews>
  <sheetFormatPr baseColWidth="10" defaultRowHeight="13.8"/>
  <cols>
    <col min="1" max="1" width="15" bestFit="1" customWidth="1"/>
    <col min="2" max="2" width="39.796875" customWidth="1"/>
    <col min="3" max="3" width="41.19921875" customWidth="1"/>
    <col min="4" max="4" width="17.19921875" bestFit="1" customWidth="1"/>
    <col min="5" max="5" width="11.796875" bestFit="1" customWidth="1"/>
    <col min="9" max="10" width="16.19921875" bestFit="1" customWidth="1"/>
    <col min="11" max="12" width="14" customWidth="1"/>
    <col min="17" max="17" width="10.796875" bestFit="1" customWidth="1"/>
    <col min="18" max="18" width="16.19921875" bestFit="1" customWidth="1"/>
    <col min="19" max="19" width="22.59765625" bestFit="1" customWidth="1"/>
    <col min="20" max="20" width="25.796875" bestFit="1" customWidth="1"/>
    <col min="21" max="21" width="20.19921875" bestFit="1" customWidth="1"/>
  </cols>
  <sheetData>
    <row r="1" spans="1:21">
      <c r="A1" t="s">
        <v>0</v>
      </c>
      <c r="B1" t="s">
        <v>39</v>
      </c>
      <c r="C1" t="s">
        <v>40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34</v>
      </c>
      <c r="J1" t="s">
        <v>35</v>
      </c>
      <c r="K1" t="s">
        <v>13</v>
      </c>
      <c r="L1" t="s">
        <v>14</v>
      </c>
      <c r="M1" t="s">
        <v>9</v>
      </c>
      <c r="N1" t="s">
        <v>10</v>
      </c>
      <c r="O1" t="s">
        <v>11</v>
      </c>
      <c r="P1" t="s">
        <v>12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</row>
    <row r="2" spans="1:21">
      <c r="A2" t="s">
        <v>1</v>
      </c>
      <c r="B2" t="s">
        <v>46</v>
      </c>
      <c r="C2" t="s">
        <v>50</v>
      </c>
      <c r="D2" t="s">
        <v>62</v>
      </c>
      <c r="E2">
        <v>-73.080827999999997</v>
      </c>
      <c r="F2">
        <v>5.7415260000000004</v>
      </c>
      <c r="G2" s="5">
        <v>-73.022695079999949</v>
      </c>
      <c r="H2" s="5">
        <v>5.7992565750000722</v>
      </c>
      <c r="I2" s="26">
        <v>25</v>
      </c>
      <c r="J2" s="26">
        <v>15.138600758132743</v>
      </c>
      <c r="K2">
        <v>2489</v>
      </c>
      <c r="L2">
        <v>2487</v>
      </c>
      <c r="M2">
        <v>0.19</v>
      </c>
      <c r="N2">
        <v>0.41</v>
      </c>
      <c r="O2">
        <v>0.7</v>
      </c>
      <c r="P2">
        <v>0.34</v>
      </c>
      <c r="Q2">
        <v>0.5</v>
      </c>
      <c r="R2">
        <v>13.76</v>
      </c>
      <c r="S2">
        <v>11.06</v>
      </c>
      <c r="T2">
        <v>1.58</v>
      </c>
      <c r="U2">
        <v>0.9</v>
      </c>
    </row>
    <row r="3" spans="1:21">
      <c r="A3" t="s">
        <v>64</v>
      </c>
      <c r="B3" t="s">
        <v>50</v>
      </c>
      <c r="C3" t="s">
        <v>48</v>
      </c>
      <c r="D3" t="s">
        <v>62</v>
      </c>
      <c r="E3" s="5">
        <v>-73.022695079999949</v>
      </c>
      <c r="F3" s="5">
        <v>5.7992565750000722</v>
      </c>
      <c r="G3">
        <v>-73.002833332999955</v>
      </c>
      <c r="H3">
        <v>5.8047833330000458</v>
      </c>
      <c r="I3" s="26">
        <v>15.138600758132743</v>
      </c>
      <c r="J3" s="26">
        <v>11.943709248948872</v>
      </c>
      <c r="K3">
        <v>2487</v>
      </c>
      <c r="L3">
        <v>2485</v>
      </c>
      <c r="M3">
        <v>0.19</v>
      </c>
      <c r="N3">
        <v>0.41</v>
      </c>
      <c r="O3">
        <v>0.7</v>
      </c>
      <c r="P3">
        <v>0.34</v>
      </c>
      <c r="Q3">
        <v>0.5</v>
      </c>
      <c r="R3">
        <v>13.76</v>
      </c>
      <c r="S3">
        <v>11.06</v>
      </c>
      <c r="T3">
        <v>1.58</v>
      </c>
      <c r="U3">
        <v>0.9</v>
      </c>
    </row>
    <row r="4" spans="1:21">
      <c r="A4" t="s">
        <v>65</v>
      </c>
      <c r="B4" t="s">
        <v>48</v>
      </c>
      <c r="C4" s="18" t="s">
        <v>78</v>
      </c>
      <c r="D4" t="s">
        <v>62</v>
      </c>
      <c r="E4">
        <v>-73.002833332999955</v>
      </c>
      <c r="F4">
        <v>5.8047833330000458</v>
      </c>
      <c r="G4" s="11">
        <v>-72.965680290999998</v>
      </c>
      <c r="H4" s="11">
        <v>5.740545977</v>
      </c>
      <c r="I4" s="26">
        <v>11.943709248948872</v>
      </c>
      <c r="J4" s="27">
        <v>3.4533369484973662</v>
      </c>
      <c r="K4">
        <v>2485</v>
      </c>
      <c r="L4">
        <v>2477</v>
      </c>
      <c r="M4">
        <v>0.19</v>
      </c>
      <c r="N4">
        <v>0.41</v>
      </c>
      <c r="O4">
        <v>0.7</v>
      </c>
      <c r="P4">
        <v>0.34</v>
      </c>
      <c r="Q4">
        <v>0.5</v>
      </c>
      <c r="R4">
        <v>13.76</v>
      </c>
      <c r="S4">
        <v>11.06</v>
      </c>
      <c r="T4">
        <v>1.58</v>
      </c>
      <c r="U4">
        <v>0.9</v>
      </c>
    </row>
    <row r="5" spans="1:21">
      <c r="A5" t="s">
        <v>77</v>
      </c>
      <c r="B5" s="18" t="s">
        <v>78</v>
      </c>
      <c r="C5" t="s">
        <v>79</v>
      </c>
      <c r="D5" t="s">
        <v>62</v>
      </c>
      <c r="E5" s="11">
        <v>-72.965680290999998</v>
      </c>
      <c r="F5" s="11">
        <v>5.740545977</v>
      </c>
      <c r="G5">
        <v>-72.936666000000002</v>
      </c>
      <c r="H5">
        <v>5.7477590000000003</v>
      </c>
      <c r="I5" s="27">
        <v>3.4533369484973662</v>
      </c>
      <c r="J5">
        <v>0</v>
      </c>
      <c r="K5">
        <v>2477</v>
      </c>
      <c r="L5">
        <v>2481</v>
      </c>
      <c r="M5">
        <v>0.19</v>
      </c>
      <c r="N5">
        <v>0.41</v>
      </c>
      <c r="O5">
        <v>0.7</v>
      </c>
      <c r="P5">
        <v>0.34</v>
      </c>
      <c r="Q5">
        <v>0.5</v>
      </c>
      <c r="R5">
        <v>13.76</v>
      </c>
      <c r="S5">
        <v>11.06</v>
      </c>
      <c r="T5">
        <v>1.58</v>
      </c>
      <c r="U5">
        <v>0.9</v>
      </c>
    </row>
    <row r="6" spans="1:21">
      <c r="I6" s="23"/>
    </row>
    <row r="9" spans="1:21">
      <c r="G9" s="23"/>
      <c r="I9" s="23"/>
    </row>
    <row r="10" spans="1:21">
      <c r="I10" s="23"/>
    </row>
    <row r="11" spans="1:21">
      <c r="C11" s="2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CAE8-8F8D-4B2D-9878-1F4D056EC13E}">
  <sheetPr codeName="Hoja2"/>
  <dimension ref="A1:Y30"/>
  <sheetViews>
    <sheetView topLeftCell="K1" zoomScaleNormal="100" workbookViewId="0">
      <selection activeCell="W1" sqref="W1:W1048576"/>
    </sheetView>
  </sheetViews>
  <sheetFormatPr baseColWidth="10" defaultColWidth="11.59765625" defaultRowHeight="13.2"/>
  <cols>
    <col min="1" max="1" width="72.59765625" style="2" bestFit="1" customWidth="1"/>
    <col min="2" max="2" width="21.19921875" style="2" customWidth="1"/>
    <col min="3" max="3" width="12" style="2" bestFit="1" customWidth="1"/>
    <col min="4" max="4" width="12.796875" style="2" bestFit="1" customWidth="1"/>
    <col min="5" max="5" width="12" style="2" bestFit="1" customWidth="1"/>
    <col min="6" max="6" width="13.19921875" style="2" customWidth="1"/>
    <col min="7" max="7" width="13.19921875" style="2" bestFit="1" customWidth="1"/>
    <col min="8" max="8" width="15.19921875" style="2" bestFit="1" customWidth="1"/>
    <col min="9" max="9" width="11.796875" style="2" customWidth="1"/>
    <col min="10" max="10" width="18.19921875" style="2" bestFit="1" customWidth="1"/>
    <col min="11" max="11" width="5.796875" style="2" bestFit="1" customWidth="1"/>
    <col min="12" max="12" width="6.19921875" style="2" customWidth="1"/>
    <col min="13" max="13" width="22.796875" style="2" bestFit="1" customWidth="1"/>
    <col min="14" max="14" width="9" style="2" bestFit="1" customWidth="1"/>
    <col min="15" max="15" width="9.59765625" style="2" bestFit="1" customWidth="1"/>
    <col min="16" max="16" width="15.19921875" style="2" bestFit="1" customWidth="1"/>
    <col min="17" max="17" width="14.796875" style="2" bestFit="1" customWidth="1"/>
    <col min="18" max="18" width="20.19921875" style="2" bestFit="1" customWidth="1"/>
    <col min="19" max="19" width="29.796875" style="2" bestFit="1" customWidth="1"/>
    <col min="20" max="20" width="9.796875" style="2" bestFit="1" customWidth="1"/>
    <col min="21" max="21" width="12.19921875" style="2" bestFit="1" customWidth="1"/>
    <col min="22" max="22" width="8.19921875" style="2" customWidth="1"/>
    <col min="23" max="16384" width="11.59765625" style="2"/>
  </cols>
  <sheetData>
    <row r="1" spans="1:25" ht="13.8">
      <c r="A1" s="1" t="s">
        <v>15</v>
      </c>
      <c r="B1" s="1" t="s">
        <v>37</v>
      </c>
      <c r="C1" s="1" t="s">
        <v>3</v>
      </c>
      <c r="D1" s="1" t="s">
        <v>4</v>
      </c>
      <c r="E1" s="1" t="s">
        <v>16</v>
      </c>
      <c r="F1" s="1" t="s">
        <v>17</v>
      </c>
      <c r="G1" s="1" t="s">
        <v>36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</row>
    <row r="2" spans="1:25" ht="13.8">
      <c r="A2" t="s">
        <v>74</v>
      </c>
      <c r="B2" s="3" t="s">
        <v>38</v>
      </c>
      <c r="C2">
        <v>-73.080827999999997</v>
      </c>
      <c r="D2">
        <v>5.7415260000000004</v>
      </c>
      <c r="E2" s="23">
        <v>24.560994095504117</v>
      </c>
      <c r="F2" s="6">
        <f>0.413/1000</f>
        <v>4.1299999999999996E-4</v>
      </c>
      <c r="G2" s="1">
        <v>18.3</v>
      </c>
      <c r="H2" s="1">
        <v>970</v>
      </c>
      <c r="I2" s="1">
        <v>144</v>
      </c>
      <c r="J2" s="1">
        <v>1.26</v>
      </c>
      <c r="K2" s="1">
        <v>433</v>
      </c>
      <c r="L2" s="1">
        <v>45.09</v>
      </c>
      <c r="M2" s="1">
        <v>43.12</v>
      </c>
      <c r="N2" s="1">
        <v>0.01</v>
      </c>
      <c r="O2" s="1">
        <v>0.15</v>
      </c>
      <c r="P2" s="1">
        <v>6.65</v>
      </c>
      <c r="Q2" s="1">
        <v>5.19</v>
      </c>
      <c r="R2" s="9">
        <v>4.4313637641589869</v>
      </c>
      <c r="S2" s="1"/>
      <c r="T2" s="1"/>
      <c r="U2" s="1">
        <v>2</v>
      </c>
      <c r="V2" s="1">
        <v>3.84</v>
      </c>
    </row>
    <row r="3" spans="1:25" ht="13.8">
      <c r="A3" t="s">
        <v>75</v>
      </c>
      <c r="B3" s="3" t="s">
        <v>38</v>
      </c>
      <c r="C3">
        <v>-73.080827999999997</v>
      </c>
      <c r="D3">
        <v>5.7415260000000004</v>
      </c>
      <c r="E3" s="23">
        <v>24.560994095504117</v>
      </c>
      <c r="F3" s="6">
        <f>0.087/1000</f>
        <v>8.7000000000000001E-5</v>
      </c>
      <c r="G3" s="1">
        <v>18.3</v>
      </c>
      <c r="H3" s="1">
        <v>970</v>
      </c>
      <c r="I3" s="1">
        <v>144</v>
      </c>
      <c r="J3" s="1">
        <v>1.26</v>
      </c>
      <c r="K3" s="1">
        <v>433</v>
      </c>
      <c r="L3" s="1">
        <v>45.09</v>
      </c>
      <c r="M3" s="1">
        <v>43.12</v>
      </c>
      <c r="N3" s="1">
        <v>0.01</v>
      </c>
      <c r="O3" s="1">
        <v>0.15</v>
      </c>
      <c r="P3" s="1">
        <v>6.65</v>
      </c>
      <c r="Q3" s="1">
        <v>5.19</v>
      </c>
      <c r="R3" s="9">
        <v>4.4313637641589869</v>
      </c>
      <c r="S3" s="1"/>
      <c r="T3" s="1"/>
      <c r="U3" s="1">
        <v>2</v>
      </c>
      <c r="V3" s="1">
        <v>3.84</v>
      </c>
    </row>
    <row r="4" spans="1:25" s="4" customFormat="1" ht="13.8">
      <c r="A4" t="s">
        <v>49</v>
      </c>
      <c r="B4" s="3" t="s">
        <v>38</v>
      </c>
      <c r="C4" s="5">
        <v>-73.023094221999941</v>
      </c>
      <c r="D4" s="5">
        <v>5.7988909690000696</v>
      </c>
      <c r="E4" s="23">
        <v>15.139368876854117</v>
      </c>
      <c r="F4" s="6">
        <v>3.0199999999999997E-4</v>
      </c>
      <c r="G4" s="1">
        <v>16.5</v>
      </c>
      <c r="H4" s="8">
        <v>640</v>
      </c>
      <c r="I4" s="1">
        <v>42</v>
      </c>
      <c r="J4" s="1">
        <v>1.1000000000000001</v>
      </c>
      <c r="K4" s="1">
        <v>43</v>
      </c>
      <c r="L4" s="1">
        <v>30.497</v>
      </c>
      <c r="M4" s="1">
        <v>23.5</v>
      </c>
      <c r="N4" s="1">
        <v>3.5000000000000001E-3</v>
      </c>
      <c r="O4" s="1">
        <v>0.6</v>
      </c>
      <c r="P4" s="1">
        <v>4.0999999999999996</v>
      </c>
      <c r="Q4" s="1">
        <v>3.14</v>
      </c>
      <c r="R4" s="9">
        <v>5.9960736544852757</v>
      </c>
      <c r="S4" s="1"/>
      <c r="T4" s="9">
        <v>3.0043213737826426</v>
      </c>
      <c r="U4" s="1">
        <v>280</v>
      </c>
      <c r="V4" s="1">
        <v>8.3000000000000007</v>
      </c>
      <c r="W4" s="2"/>
      <c r="X4" s="2"/>
      <c r="Y4" s="2">
        <f t="shared" ref="Y3:Y20" si="0">+LOG(T4)</f>
        <v>0.47774638751827625</v>
      </c>
    </row>
    <row r="5" spans="1:25" s="4" customFormat="1" ht="13.8">
      <c r="A5" t="s">
        <v>50</v>
      </c>
      <c r="B5" s="3" t="s">
        <v>38</v>
      </c>
      <c r="C5" s="5">
        <v>-73.022695079999949</v>
      </c>
      <c r="D5" s="5">
        <v>5.7992565750000722</v>
      </c>
      <c r="E5" s="23">
        <v>15.080811453444818</v>
      </c>
      <c r="F5" s="6">
        <v>6.5979999999999997E-3</v>
      </c>
      <c r="G5" s="1">
        <v>19.2</v>
      </c>
      <c r="H5" s="8"/>
      <c r="I5" s="1">
        <v>110</v>
      </c>
      <c r="J5" s="1">
        <v>1.75</v>
      </c>
      <c r="K5" s="1">
        <v>224</v>
      </c>
      <c r="L5" s="1">
        <v>78.900000000000006</v>
      </c>
      <c r="M5" s="1">
        <v>53.6</v>
      </c>
      <c r="N5" s="1">
        <v>8.0000000000000002E-3</v>
      </c>
      <c r="O5" s="1">
        <v>2.34</v>
      </c>
      <c r="P5" s="1">
        <v>5.53</v>
      </c>
      <c r="Q5" s="1">
        <v>4.29</v>
      </c>
      <c r="R5" s="1">
        <v>4.2304489213782741</v>
      </c>
      <c r="S5" s="1"/>
      <c r="T5" s="9">
        <v>3.9689496809813427</v>
      </c>
      <c r="U5" s="1">
        <v>213</v>
      </c>
      <c r="V5" s="1">
        <v>7.8</v>
      </c>
      <c r="W5" s="2"/>
      <c r="X5" s="2"/>
      <c r="Y5" s="2">
        <f t="shared" si="0"/>
        <v>0.59867559288280792</v>
      </c>
    </row>
    <row r="6" spans="1:25" ht="13.8">
      <c r="A6" t="s">
        <v>51</v>
      </c>
      <c r="B6" s="3" t="s">
        <v>38</v>
      </c>
      <c r="C6" s="5">
        <v>-73.017532603999939</v>
      </c>
      <c r="D6" s="5">
        <v>5.8035111300000608</v>
      </c>
      <c r="E6" s="23">
        <v>14.311836424265818</v>
      </c>
      <c r="F6" s="6">
        <v>6.7569999999999991E-2</v>
      </c>
      <c r="G6" s="1">
        <v>19.7</v>
      </c>
      <c r="H6" s="8">
        <v>2004</v>
      </c>
      <c r="I6" s="1">
        <v>252</v>
      </c>
      <c r="J6" s="1">
        <v>1.74</v>
      </c>
      <c r="K6" s="1">
        <v>340</v>
      </c>
      <c r="L6" s="1">
        <v>58.1965</v>
      </c>
      <c r="M6" s="1">
        <v>44.8</v>
      </c>
      <c r="N6" s="1">
        <v>3.5000000000000001E-3</v>
      </c>
      <c r="O6" s="1">
        <v>1.1000000000000001</v>
      </c>
      <c r="P6" s="1">
        <v>8.5</v>
      </c>
      <c r="Q6" s="1">
        <v>6.56</v>
      </c>
      <c r="R6" s="9">
        <v>5.7846172926328752</v>
      </c>
      <c r="S6" s="1"/>
      <c r="T6" s="9">
        <v>4.5263392773898437</v>
      </c>
      <c r="U6" s="1">
        <v>301</v>
      </c>
      <c r="V6" s="1">
        <v>7.26</v>
      </c>
      <c r="Y6" s="2">
        <f t="shared" si="0"/>
        <v>0.65574710392181257</v>
      </c>
    </row>
    <row r="7" spans="1:25" ht="13.8">
      <c r="A7" t="s">
        <v>53</v>
      </c>
      <c r="B7" s="3" t="s">
        <v>38</v>
      </c>
      <c r="C7" s="5">
        <v>-73.017481100999987</v>
      </c>
      <c r="D7" s="5">
        <v>5.8036243410000452</v>
      </c>
      <c r="E7" s="23">
        <v>14.298736144621818</v>
      </c>
      <c r="F7" s="6">
        <v>4.9700000000000005E-4</v>
      </c>
      <c r="G7" s="1">
        <v>17.3</v>
      </c>
      <c r="H7" s="8">
        <v>900.5</v>
      </c>
      <c r="I7" s="1">
        <v>112</v>
      </c>
      <c r="J7" s="1">
        <v>1.04</v>
      </c>
      <c r="K7" s="1">
        <v>242</v>
      </c>
      <c r="L7" s="1">
        <v>60.5</v>
      </c>
      <c r="M7" s="1">
        <v>46.2</v>
      </c>
      <c r="N7" s="1">
        <v>4.0000000000000001E-3</v>
      </c>
      <c r="O7" s="1">
        <v>0.9</v>
      </c>
      <c r="P7" s="1">
        <v>6.3</v>
      </c>
      <c r="Q7" s="1">
        <v>4.82</v>
      </c>
      <c r="R7" s="9">
        <v>6.2695129442179161</v>
      </c>
      <c r="S7" s="1"/>
      <c r="T7" s="9">
        <v>4.8419848045901137</v>
      </c>
      <c r="U7" s="1">
        <v>271</v>
      </c>
      <c r="V7" s="1">
        <v>7.5</v>
      </c>
      <c r="Y7" s="2">
        <f t="shared" si="0"/>
        <v>0.68502342217861389</v>
      </c>
    </row>
    <row r="8" spans="1:25" ht="13.8">
      <c r="A8" t="s">
        <v>52</v>
      </c>
      <c r="B8" s="3" t="s">
        <v>38</v>
      </c>
      <c r="C8" s="5">
        <v>-73.017450861999976</v>
      </c>
      <c r="D8" s="5">
        <v>5.8036829290000469</v>
      </c>
      <c r="E8" s="23">
        <v>14.290331971752298</v>
      </c>
      <c r="F8" s="6">
        <v>2.24E-2</v>
      </c>
      <c r="G8" s="1">
        <v>17.600000000000001</v>
      </c>
      <c r="H8" s="8">
        <v>1009.5</v>
      </c>
      <c r="I8" s="1">
        <v>135</v>
      </c>
      <c r="J8" s="1">
        <v>1.84</v>
      </c>
      <c r="K8" s="1">
        <v>222</v>
      </c>
      <c r="L8" s="1">
        <v>62.6965</v>
      </c>
      <c r="M8" s="1">
        <v>47.9</v>
      </c>
      <c r="N8" s="1">
        <v>3.5000000000000001E-3</v>
      </c>
      <c r="O8" s="1">
        <v>0.9</v>
      </c>
      <c r="P8" s="1">
        <v>5.07</v>
      </c>
      <c r="Q8" s="1"/>
      <c r="R8" s="9">
        <v>7.8802417758954801</v>
      </c>
      <c r="S8" s="1"/>
      <c r="T8" s="9">
        <v>4.6127838567197355</v>
      </c>
      <c r="U8" s="1">
        <v>254</v>
      </c>
      <c r="V8" s="1">
        <v>7.56</v>
      </c>
      <c r="Y8" s="2">
        <f t="shared" si="0"/>
        <v>0.66396310515386925</v>
      </c>
    </row>
    <row r="9" spans="1:25" ht="13.8">
      <c r="A9" t="s">
        <v>63</v>
      </c>
      <c r="B9" s="3" t="s">
        <v>38</v>
      </c>
      <c r="C9" s="5">
        <v>-73.016666666999981</v>
      </c>
      <c r="D9" s="5">
        <v>5.8052777780000611</v>
      </c>
      <c r="E9" s="23">
        <v>14.096992001789298</v>
      </c>
      <c r="F9" s="6">
        <v>2.6789999999999998E-2</v>
      </c>
      <c r="G9" s="1">
        <f>+(13.8+19.1)/2</f>
        <v>16.450000000000003</v>
      </c>
      <c r="H9" s="1">
        <f>+(353+721)/2</f>
        <v>537</v>
      </c>
      <c r="I9" s="1">
        <v>105</v>
      </c>
      <c r="J9" s="1">
        <f>+(0.28+2.92)/2</f>
        <v>1.6</v>
      </c>
      <c r="K9" s="1">
        <v>200</v>
      </c>
      <c r="L9" s="1">
        <v>34.99</v>
      </c>
      <c r="M9" s="1">
        <v>26.9</v>
      </c>
      <c r="N9" s="1">
        <v>3.5000000000000001E-3</v>
      </c>
      <c r="O9" s="1">
        <v>0.6</v>
      </c>
      <c r="P9" s="1">
        <v>3.3</v>
      </c>
      <c r="Q9" s="1">
        <v>2.5099999999999998</v>
      </c>
      <c r="R9" s="1">
        <v>6.982271233039568</v>
      </c>
      <c r="S9" s="1"/>
      <c r="T9" s="1">
        <v>4.7671558660821809</v>
      </c>
      <c r="U9" s="1">
        <v>148</v>
      </c>
      <c r="V9" s="1">
        <f>+(7.51+8.47)/2</f>
        <v>7.99</v>
      </c>
      <c r="Y9" s="2">
        <f t="shared" si="0"/>
        <v>0.67825935177448815</v>
      </c>
    </row>
    <row r="10" spans="1:25" ht="13.8">
      <c r="A10" t="s">
        <v>54</v>
      </c>
      <c r="B10" s="3" t="s">
        <v>38</v>
      </c>
      <c r="C10" s="5">
        <v>-73.015555555999981</v>
      </c>
      <c r="D10" s="5">
        <v>5.8077777780000588</v>
      </c>
      <c r="E10" s="23">
        <v>13.787006043773298</v>
      </c>
      <c r="F10" s="6">
        <v>1.23E-3</v>
      </c>
      <c r="G10" s="1">
        <v>22.6</v>
      </c>
      <c r="H10" s="8"/>
      <c r="I10" s="1">
        <v>44</v>
      </c>
      <c r="J10" s="1"/>
      <c r="K10" s="1">
        <v>167</v>
      </c>
      <c r="L10" s="1">
        <v>57.89</v>
      </c>
      <c r="M10" s="1">
        <v>21.9</v>
      </c>
      <c r="N10" s="1">
        <f>0.0043/2</f>
        <v>2.15E-3</v>
      </c>
      <c r="O10" s="1"/>
      <c r="P10" s="1">
        <v>2.87</v>
      </c>
      <c r="Q10" s="1">
        <v>2.04</v>
      </c>
      <c r="R10" s="1">
        <v>5.7323937598229682</v>
      </c>
      <c r="S10" s="1"/>
      <c r="T10" s="1"/>
      <c r="U10" s="1">
        <v>104</v>
      </c>
      <c r="V10" s="1">
        <v>7.3</v>
      </c>
    </row>
    <row r="11" spans="1:25" ht="13.8">
      <c r="A11" t="s">
        <v>47</v>
      </c>
      <c r="B11" s="3" t="s">
        <v>38</v>
      </c>
      <c r="C11" s="5">
        <v>-73.015158332999988</v>
      </c>
      <c r="D11" s="5">
        <v>5.8080555560000562</v>
      </c>
      <c r="E11" s="23">
        <v>13.748115359531397</v>
      </c>
      <c r="F11" s="6">
        <v>1.58E-3</v>
      </c>
      <c r="G11" s="1">
        <v>15.7</v>
      </c>
      <c r="H11" s="1">
        <v>211</v>
      </c>
      <c r="I11" s="1">
        <v>231</v>
      </c>
      <c r="J11" s="1">
        <v>0.17</v>
      </c>
      <c r="K11" s="1">
        <v>116</v>
      </c>
      <c r="L11" s="1">
        <v>31.3</v>
      </c>
      <c r="M11" s="1">
        <v>21.2</v>
      </c>
      <c r="N11" s="1">
        <v>1.7999999999999999E-2</v>
      </c>
      <c r="O11" s="1">
        <v>1.5</v>
      </c>
      <c r="P11" s="1">
        <v>1.77</v>
      </c>
      <c r="Q11" s="1">
        <v>1.17</v>
      </c>
      <c r="R11" s="1">
        <v>6.3802112417116064</v>
      </c>
      <c r="S11" s="1"/>
      <c r="T11" s="1"/>
      <c r="U11" s="1">
        <v>116</v>
      </c>
      <c r="V11" s="1">
        <v>7.15</v>
      </c>
    </row>
    <row r="12" spans="1:25" ht="13.8">
      <c r="A12" t="s">
        <v>56</v>
      </c>
      <c r="B12" s="3" t="s">
        <v>38</v>
      </c>
      <c r="C12" s="5">
        <v>-73.013123131999976</v>
      </c>
      <c r="D12" s="5">
        <v>5.8104262770000332</v>
      </c>
      <c r="E12" s="23">
        <v>13.353799000292398</v>
      </c>
      <c r="F12" s="6">
        <v>5.5699999999999999E-4</v>
      </c>
      <c r="G12" s="1">
        <v>15.7</v>
      </c>
      <c r="H12" s="8">
        <v>799</v>
      </c>
      <c r="I12" s="1">
        <v>205</v>
      </c>
      <c r="J12" s="1">
        <v>1.155</v>
      </c>
      <c r="K12" s="1">
        <v>274</v>
      </c>
      <c r="L12" s="1">
        <v>40.596499999999999</v>
      </c>
      <c r="M12" s="1">
        <v>31.1</v>
      </c>
      <c r="N12" s="1">
        <v>3.5000000000000001E-3</v>
      </c>
      <c r="O12" s="1">
        <v>0.6</v>
      </c>
      <c r="P12" s="1">
        <v>4.9000000000000004</v>
      </c>
      <c r="Q12" s="1">
        <v>3.76</v>
      </c>
      <c r="R12" s="1">
        <v>6.1303337684950066</v>
      </c>
      <c r="S12" s="1"/>
      <c r="T12" s="1">
        <v>4.0791812460476251</v>
      </c>
      <c r="U12" s="1">
        <v>264</v>
      </c>
      <c r="V12" s="1">
        <v>8.17</v>
      </c>
      <c r="Y12" s="2">
        <f t="shared" si="0"/>
        <v>0.61057300230400613</v>
      </c>
    </row>
    <row r="13" spans="1:25" ht="13.8">
      <c r="A13" t="s">
        <v>55</v>
      </c>
      <c r="B13" s="3" t="s">
        <v>38</v>
      </c>
      <c r="C13" s="5">
        <v>-73.01102756399996</v>
      </c>
      <c r="D13" s="5">
        <v>5.8099083710000627</v>
      </c>
      <c r="E13" s="23">
        <v>13.109452898653398</v>
      </c>
      <c r="F13" s="6">
        <v>9.6000000000000002E-4</v>
      </c>
      <c r="G13" s="1">
        <v>23.8</v>
      </c>
      <c r="H13" s="8"/>
      <c r="I13" s="1">
        <v>175</v>
      </c>
      <c r="J13" s="1"/>
      <c r="K13" s="1">
        <v>345</v>
      </c>
      <c r="L13" s="1">
        <v>114.989</v>
      </c>
      <c r="M13" s="1">
        <v>25.2</v>
      </c>
      <c r="N13" s="1">
        <v>1.0999999999999999E-2</v>
      </c>
      <c r="O13" s="1"/>
      <c r="P13" s="1">
        <v>4.76</v>
      </c>
      <c r="Q13" s="1">
        <v>3.91</v>
      </c>
      <c r="R13" s="1">
        <v>6.1461280356782382</v>
      </c>
      <c r="S13" s="1"/>
      <c r="T13" s="1"/>
      <c r="U13" s="1">
        <v>131</v>
      </c>
      <c r="V13" s="1">
        <v>8</v>
      </c>
    </row>
    <row r="14" spans="1:25" ht="13.8">
      <c r="A14" t="s">
        <v>57</v>
      </c>
      <c r="B14" s="3" t="s">
        <v>38</v>
      </c>
      <c r="C14" s="5">
        <v>-73.010833332999937</v>
      </c>
      <c r="D14" s="5">
        <v>5.8094444440000643</v>
      </c>
      <c r="E14" s="23">
        <v>13.051671296285699</v>
      </c>
      <c r="F14" s="6">
        <v>6.3600000000000002E-3</v>
      </c>
      <c r="G14" s="1">
        <v>28.5</v>
      </c>
      <c r="H14" s="8"/>
      <c r="I14" s="1">
        <v>115</v>
      </c>
      <c r="J14" s="1"/>
      <c r="K14" s="1">
        <v>338</v>
      </c>
      <c r="L14" s="1">
        <v>124.997</v>
      </c>
      <c r="M14" s="1">
        <v>47</v>
      </c>
      <c r="N14" s="1">
        <v>2.15E-3</v>
      </c>
      <c r="O14" s="1"/>
      <c r="P14" s="1">
        <v>10.4</v>
      </c>
      <c r="Q14" s="1">
        <v>6.6</v>
      </c>
      <c r="R14" s="1"/>
      <c r="S14" s="1"/>
      <c r="T14" s="1"/>
      <c r="U14" s="1">
        <v>210</v>
      </c>
      <c r="V14" s="1">
        <v>7.75</v>
      </c>
    </row>
    <row r="15" spans="1:25" ht="13.8">
      <c r="A15" t="s">
        <v>76</v>
      </c>
      <c r="B15" s="3" t="s">
        <v>38</v>
      </c>
      <c r="C15" s="5">
        <v>-73.010778000000002</v>
      </c>
      <c r="D15" s="5">
        <v>5.8091670000000004</v>
      </c>
      <c r="E15" s="23">
        <v>13.011203886212998</v>
      </c>
      <c r="F15" s="6">
        <f>0.74/1000</f>
        <v>7.3999999999999999E-4</v>
      </c>
      <c r="G15" s="1">
        <v>20.3</v>
      </c>
      <c r="H15" s="8">
        <v>716</v>
      </c>
      <c r="I15" s="1">
        <v>86</v>
      </c>
      <c r="J15" s="1">
        <v>3.55</v>
      </c>
      <c r="K15" s="1">
        <v>249</v>
      </c>
      <c r="L15" s="1">
        <v>4.82</v>
      </c>
      <c r="M15" s="1">
        <v>0.5</v>
      </c>
      <c r="N15" s="1">
        <v>0.43</v>
      </c>
      <c r="O15" s="1">
        <v>22</v>
      </c>
      <c r="P15" s="1">
        <v>3.22</v>
      </c>
      <c r="Q15" s="1">
        <v>5.71</v>
      </c>
      <c r="R15" s="1"/>
      <c r="S15" s="1"/>
      <c r="T15" s="1"/>
      <c r="U15" s="1"/>
      <c r="V15" s="1">
        <v>7.9</v>
      </c>
    </row>
    <row r="16" spans="1:25" ht="13.8">
      <c r="A16" t="s">
        <v>48</v>
      </c>
      <c r="B16" s="3" t="s">
        <v>38</v>
      </c>
      <c r="C16">
        <v>-73.002833332999955</v>
      </c>
      <c r="D16">
        <v>5.8047833330000458</v>
      </c>
      <c r="E16" s="23">
        <v>11.947621762492998</v>
      </c>
      <c r="F16" s="6">
        <v>1.532E-2</v>
      </c>
      <c r="G16" s="1">
        <v>17.399999999999999</v>
      </c>
      <c r="H16" s="1">
        <v>3067</v>
      </c>
      <c r="I16" s="1">
        <v>700</v>
      </c>
      <c r="J16" s="1">
        <v>0.04</v>
      </c>
      <c r="K16" s="1">
        <v>2276</v>
      </c>
      <c r="L16" s="1">
        <v>59.08</v>
      </c>
      <c r="M16" s="1">
        <v>4.93</v>
      </c>
      <c r="N16" s="1">
        <v>0.59599999999999997</v>
      </c>
      <c r="O16" s="1">
        <v>8.91</v>
      </c>
      <c r="P16" s="1">
        <v>7.52</v>
      </c>
      <c r="Q16" s="1">
        <v>6.4870000000000001</v>
      </c>
      <c r="R16" s="1">
        <v>6.9684829485539348</v>
      </c>
      <c r="S16" s="1"/>
      <c r="T16" s="1"/>
      <c r="U16" s="1">
        <v>458</v>
      </c>
      <c r="V16" s="1">
        <v>9.49</v>
      </c>
    </row>
    <row r="17" spans="1:25" ht="13.8">
      <c r="A17" t="s">
        <v>60</v>
      </c>
      <c r="B17" s="3" t="s">
        <v>38</v>
      </c>
      <c r="C17" s="5">
        <v>-72.993222221999986</v>
      </c>
      <c r="D17" s="5">
        <v>5.7898611110000502</v>
      </c>
      <c r="E17" s="23">
        <v>9.9514529032229984</v>
      </c>
      <c r="F17" s="6">
        <v>1.5100000000000001E-3</v>
      </c>
      <c r="G17" s="1">
        <v>19</v>
      </c>
      <c r="H17" s="8">
        <v>122184</v>
      </c>
      <c r="I17" s="1">
        <v>26.9</v>
      </c>
      <c r="J17" s="1">
        <v>0.68</v>
      </c>
      <c r="K17" s="1">
        <v>44.2</v>
      </c>
      <c r="L17" s="1">
        <v>43.2</v>
      </c>
      <c r="M17" s="1">
        <v>36.799999999999997</v>
      </c>
      <c r="N17" s="1">
        <v>0.03</v>
      </c>
      <c r="O17" s="1">
        <v>0.109</v>
      </c>
      <c r="P17" s="1">
        <v>9.3000000000000007</v>
      </c>
      <c r="Q17" s="1">
        <v>3.4</v>
      </c>
      <c r="R17" s="1">
        <v>5.8121108412030997</v>
      </c>
      <c r="S17" s="1"/>
      <c r="T17" s="1">
        <v>4.4593924877592306</v>
      </c>
      <c r="U17" s="1">
        <v>303</v>
      </c>
      <c r="V17" s="1">
        <v>7.4</v>
      </c>
      <c r="Y17" s="2">
        <f t="shared" si="0"/>
        <v>0.64927569790839323</v>
      </c>
    </row>
    <row r="18" spans="1:25" ht="13.8">
      <c r="A18" t="s">
        <v>59</v>
      </c>
      <c r="B18" s="3" t="s">
        <v>38</v>
      </c>
      <c r="C18" s="5">
        <v>-72.994361110999989</v>
      </c>
      <c r="D18" s="5">
        <v>5.7524722220000513</v>
      </c>
      <c r="E18" s="23">
        <v>6.1025215028729995</v>
      </c>
      <c r="F18" s="6">
        <v>5.2300000000000003E-3</v>
      </c>
      <c r="G18" s="1">
        <v>18.13</v>
      </c>
      <c r="H18" s="8">
        <v>811.66</v>
      </c>
      <c r="I18" s="1">
        <v>83</v>
      </c>
      <c r="J18" s="1">
        <v>1.28</v>
      </c>
      <c r="K18" s="1">
        <v>189</v>
      </c>
      <c r="L18" s="1">
        <v>47.6</v>
      </c>
      <c r="M18" s="1">
        <v>45</v>
      </c>
      <c r="N18" s="1">
        <v>0.03</v>
      </c>
      <c r="O18" s="1">
        <v>4.4999999999999998E-2</v>
      </c>
      <c r="P18" s="1">
        <v>15.2</v>
      </c>
      <c r="Q18" s="1">
        <v>15</v>
      </c>
      <c r="R18" s="1">
        <v>6.094107608675488</v>
      </c>
      <c r="S18" s="1"/>
      <c r="T18" s="1">
        <v>4.4879863311293935</v>
      </c>
      <c r="U18" s="1">
        <v>340</v>
      </c>
      <c r="V18" s="1">
        <v>7.48</v>
      </c>
      <c r="Y18" s="2">
        <f t="shared" si="0"/>
        <v>0.65205152553773993</v>
      </c>
    </row>
    <row r="19" spans="1:25" ht="13.8">
      <c r="A19" t="s">
        <v>58</v>
      </c>
      <c r="B19" s="3" t="s">
        <v>38</v>
      </c>
      <c r="C19" s="5">
        <v>-72.99363425699994</v>
      </c>
      <c r="D19" s="5">
        <v>5.7503772660000436</v>
      </c>
      <c r="E19" s="23">
        <v>5.8637852635899996</v>
      </c>
      <c r="F19" s="6">
        <v>2.3779999999999999E-2</v>
      </c>
      <c r="G19" s="1">
        <v>18.41</v>
      </c>
      <c r="H19" s="8">
        <v>844.22</v>
      </c>
      <c r="I19" s="1">
        <v>38</v>
      </c>
      <c r="J19" s="1">
        <v>2</v>
      </c>
      <c r="K19" s="1">
        <v>133</v>
      </c>
      <c r="L19" s="1">
        <v>38</v>
      </c>
      <c r="M19" s="1">
        <v>35.799999999999997</v>
      </c>
      <c r="N19" s="1">
        <v>0.03</v>
      </c>
      <c r="O19" s="1">
        <v>4.4999999999999998E-2</v>
      </c>
      <c r="P19" s="1">
        <v>12.4</v>
      </c>
      <c r="Q19" s="1">
        <v>8.3000000000000007</v>
      </c>
      <c r="R19" s="1">
        <v>4.8865471233911055</v>
      </c>
      <c r="S19" s="1"/>
      <c r="T19" s="1">
        <v>3.3636119798921444</v>
      </c>
      <c r="U19" s="1">
        <v>354</v>
      </c>
      <c r="V19" s="1">
        <v>7.6</v>
      </c>
      <c r="Y19" s="2">
        <f t="shared" si="0"/>
        <v>0.5268058906005697</v>
      </c>
    </row>
    <row r="20" spans="1:25" s="4" customFormat="1" ht="13.95" customHeight="1">
      <c r="A20" t="s">
        <v>61</v>
      </c>
      <c r="B20" s="3" t="s">
        <v>38</v>
      </c>
      <c r="C20" s="5">
        <v>-73.022447336999903</v>
      </c>
      <c r="D20" s="5">
        <v>5.7993824260000197</v>
      </c>
      <c r="E20" s="24">
        <v>15.052856152499999</v>
      </c>
      <c r="F20" s="10">
        <v>0.28999999999999998</v>
      </c>
      <c r="G20" s="1">
        <v>19.03</v>
      </c>
      <c r="H20" s="8">
        <v>834</v>
      </c>
      <c r="I20" s="1">
        <v>80</v>
      </c>
      <c r="J20" s="1">
        <v>0.89</v>
      </c>
      <c r="K20" s="1">
        <v>186</v>
      </c>
      <c r="L20" s="1">
        <v>73.42</v>
      </c>
      <c r="M20" s="1">
        <v>35.840000000000003</v>
      </c>
      <c r="N20" s="1">
        <v>0.01</v>
      </c>
      <c r="O20" s="1">
        <v>0.22</v>
      </c>
      <c r="P20" s="1">
        <v>5.72</v>
      </c>
      <c r="Q20" s="1"/>
      <c r="R20" s="9">
        <v>10.963787827345556</v>
      </c>
      <c r="S20" s="1"/>
      <c r="T20" s="9"/>
      <c r="U20" s="1">
        <v>88.79</v>
      </c>
      <c r="V20" s="1">
        <v>7.42</v>
      </c>
      <c r="W20" s="2"/>
      <c r="X20" s="2"/>
      <c r="Y20" s="2"/>
    </row>
    <row r="22" spans="1:25">
      <c r="E22" s="22"/>
    </row>
    <row r="24" spans="1:25" ht="13.8">
      <c r="G24" s="6"/>
    </row>
    <row r="25" spans="1:25" ht="13.8">
      <c r="G25" s="6"/>
    </row>
    <row r="26" spans="1:25" ht="13.8">
      <c r="G26" s="6"/>
    </row>
    <row r="27" spans="1:25" ht="13.8">
      <c r="G27" s="6"/>
    </row>
    <row r="28" spans="1:25" ht="13.8">
      <c r="G28" s="6"/>
    </row>
    <row r="29" spans="1:25" ht="13.8">
      <c r="G29" s="6"/>
    </row>
    <row r="30" spans="1:25" ht="13.8">
      <c r="G30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C06-801F-46EA-BB22-388546B45E90}">
  <sheetPr codeName="Hoja3"/>
  <dimension ref="A1:U45"/>
  <sheetViews>
    <sheetView tabSelected="1" topLeftCell="J1" zoomScale="90" zoomScaleNormal="90" workbookViewId="0">
      <selection activeCell="R10" sqref="R10"/>
    </sheetView>
  </sheetViews>
  <sheetFormatPr baseColWidth="10" defaultColWidth="11.59765625" defaultRowHeight="13.8"/>
  <cols>
    <col min="1" max="1" width="84.59765625" style="12" customWidth="1"/>
    <col min="2" max="2" width="11.59765625" style="12" customWidth="1"/>
    <col min="3" max="3" width="11.19921875" style="12" customWidth="1"/>
    <col min="4" max="4" width="11.59765625" style="12" customWidth="1"/>
    <col min="5" max="5" width="19.796875" style="12" customWidth="1"/>
    <col min="6" max="6" width="13.19921875" style="6" customWidth="1"/>
    <col min="7" max="7" width="15" style="12" bestFit="1" customWidth="1"/>
    <col min="8" max="8" width="17.19921875" style="12" customWidth="1"/>
    <col min="9" max="9" width="17.796875" style="12" bestFit="1" customWidth="1"/>
    <col min="10" max="11" width="11.59765625" style="12"/>
    <col min="12" max="12" width="22.19921875" style="12" bestFit="1" customWidth="1"/>
    <col min="13" max="14" width="11.59765625" style="12"/>
    <col min="15" max="15" width="15" style="12" bestFit="1" customWidth="1"/>
    <col min="16" max="16" width="14.19921875" style="12" bestFit="1" customWidth="1"/>
    <col min="17" max="17" width="22.19921875" style="12" customWidth="1"/>
    <col min="18" max="18" width="29.19921875" style="12" bestFit="1" customWidth="1"/>
    <col min="19" max="19" width="11.59765625" style="12"/>
    <col min="20" max="20" width="12" style="12" bestFit="1" customWidth="1"/>
    <col min="21" max="16384" width="11.59765625" style="12"/>
  </cols>
  <sheetData>
    <row r="1" spans="1:21">
      <c r="A1" s="3" t="s">
        <v>33</v>
      </c>
      <c r="B1" s="12" t="s">
        <v>3</v>
      </c>
      <c r="C1" s="12" t="s">
        <v>4</v>
      </c>
      <c r="D1" s="6" t="s">
        <v>16</v>
      </c>
      <c r="E1" s="12" t="s">
        <v>17</v>
      </c>
      <c r="F1" s="6" t="s">
        <v>36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</row>
    <row r="2" spans="1:21">
      <c r="A2" t="s">
        <v>46</v>
      </c>
      <c r="B2">
        <v>-73.080827999999997</v>
      </c>
      <c r="C2">
        <v>5.7415260000000004</v>
      </c>
      <c r="D2" s="20">
        <v>24.560073872636803</v>
      </c>
      <c r="E2" s="12">
        <v>0.2</v>
      </c>
      <c r="F2" s="25">
        <v>16.7</v>
      </c>
      <c r="G2" s="13">
        <v>948</v>
      </c>
      <c r="H2" s="12">
        <v>5</v>
      </c>
      <c r="I2" s="13">
        <v>1.67</v>
      </c>
      <c r="J2" s="12">
        <v>13</v>
      </c>
      <c r="K2" s="12">
        <v>11.855</v>
      </c>
      <c r="L2" s="12">
        <v>1.3849999999999998</v>
      </c>
      <c r="M2" s="12">
        <v>5.0000000000000001E-3</v>
      </c>
      <c r="N2" s="12">
        <v>0.46</v>
      </c>
      <c r="O2" s="14">
        <v>1.08</v>
      </c>
      <c r="Q2" s="15">
        <v>0.60653105106420158</v>
      </c>
      <c r="U2" s="16">
        <v>6.18</v>
      </c>
    </row>
    <row r="3" spans="1:21">
      <c r="A3" s="18" t="s">
        <v>66</v>
      </c>
      <c r="B3" s="12">
        <v>-73.052322222000001</v>
      </c>
      <c r="C3" s="12">
        <v>5.7744444440000002</v>
      </c>
      <c r="D3" s="12">
        <v>19.48968554</v>
      </c>
      <c r="E3" s="12">
        <v>0.2</v>
      </c>
      <c r="F3" s="25">
        <v>16.7</v>
      </c>
      <c r="G3" s="13">
        <v>948</v>
      </c>
      <c r="H3" s="12">
        <v>5</v>
      </c>
      <c r="I3" s="13">
        <v>1.67</v>
      </c>
      <c r="J3" s="12">
        <v>13</v>
      </c>
      <c r="K3" s="12">
        <v>11.855</v>
      </c>
      <c r="L3" s="12">
        <v>1.3849999999999998</v>
      </c>
      <c r="M3" s="12">
        <v>5.0000000000000001E-3</v>
      </c>
      <c r="N3" s="12">
        <v>0.46</v>
      </c>
      <c r="O3" s="14">
        <v>1.08</v>
      </c>
      <c r="Q3" s="15">
        <v>0.60653105106420158</v>
      </c>
      <c r="U3" s="16">
        <v>6.18</v>
      </c>
    </row>
    <row r="4" spans="1:21">
      <c r="A4" s="18" t="s">
        <v>67</v>
      </c>
      <c r="B4" s="12">
        <v>-73.043463888999995</v>
      </c>
      <c r="C4" s="12">
        <v>5.7840722219999998</v>
      </c>
      <c r="D4" s="12">
        <v>17.938755279999999</v>
      </c>
      <c r="E4" s="12">
        <v>0.2</v>
      </c>
      <c r="F4" s="25">
        <v>16.5</v>
      </c>
      <c r="G4" s="13">
        <v>28200</v>
      </c>
      <c r="H4" s="14">
        <v>24</v>
      </c>
      <c r="I4" s="13">
        <v>1.2</v>
      </c>
      <c r="J4" s="17">
        <v>14</v>
      </c>
      <c r="K4" s="12">
        <v>8.6199999999999992</v>
      </c>
      <c r="M4" s="14">
        <v>0.32</v>
      </c>
      <c r="N4" s="14">
        <v>1.24</v>
      </c>
      <c r="O4" s="14">
        <v>2.74</v>
      </c>
      <c r="Q4" s="15">
        <v>0.77263552411258785</v>
      </c>
      <c r="U4" s="16">
        <v>6.23</v>
      </c>
    </row>
    <row r="5" spans="1:21">
      <c r="A5" s="18" t="s">
        <v>68</v>
      </c>
      <c r="B5" s="11">
        <v>-73.023261110999997</v>
      </c>
      <c r="C5" s="11">
        <v>5.798666667</v>
      </c>
      <c r="D5" s="12">
        <v>15.17233182</v>
      </c>
      <c r="E5" s="12">
        <v>0.2</v>
      </c>
      <c r="F5" s="25">
        <v>14.3</v>
      </c>
      <c r="G5" s="13">
        <v>20200</v>
      </c>
      <c r="H5" s="14">
        <v>108</v>
      </c>
      <c r="I5" s="13">
        <v>1.4</v>
      </c>
      <c r="J5" s="17">
        <v>34</v>
      </c>
      <c r="K5" s="12">
        <v>23.849999999999998</v>
      </c>
      <c r="L5" s="12">
        <v>3.8299999999999992</v>
      </c>
      <c r="M5" s="14">
        <v>0.02</v>
      </c>
      <c r="N5" s="14">
        <v>1.69</v>
      </c>
      <c r="O5" s="14">
        <v>3.77</v>
      </c>
      <c r="Q5" s="15">
        <v>0.79624623407496564</v>
      </c>
      <c r="U5" s="16">
        <v>6.17</v>
      </c>
    </row>
    <row r="6" spans="1:21">
      <c r="A6" s="18" t="s">
        <v>69</v>
      </c>
      <c r="B6" s="11">
        <v>-73.022436111000005</v>
      </c>
      <c r="C6" s="11">
        <v>5.7993944439999998</v>
      </c>
      <c r="D6" s="12">
        <v>15.049002829999999</v>
      </c>
      <c r="E6" s="12">
        <v>0.20055000000000001</v>
      </c>
      <c r="F6" s="25">
        <v>11</v>
      </c>
      <c r="G6" s="13">
        <v>60500</v>
      </c>
      <c r="H6" s="14">
        <v>102</v>
      </c>
      <c r="I6" s="13">
        <v>0.6</v>
      </c>
      <c r="J6" s="17">
        <v>54</v>
      </c>
      <c r="K6" s="12">
        <v>16.14</v>
      </c>
      <c r="M6" s="14">
        <v>0.02</v>
      </c>
      <c r="N6" s="14">
        <v>4.45</v>
      </c>
      <c r="O6" s="14">
        <v>13.04</v>
      </c>
      <c r="Q6" s="15">
        <v>0.86464273151992888</v>
      </c>
      <c r="U6" s="16">
        <v>5.61</v>
      </c>
    </row>
    <row r="7" spans="1:21">
      <c r="A7" s="18" t="s">
        <v>70</v>
      </c>
      <c r="B7" s="11">
        <v>-73.018299999999996</v>
      </c>
      <c r="C7" s="11">
        <v>5.802188889</v>
      </c>
      <c r="D7" s="12">
        <v>14.4956508</v>
      </c>
      <c r="E7" s="12">
        <v>0.49054999999999999</v>
      </c>
      <c r="F7" s="25">
        <v>19</v>
      </c>
      <c r="G7" s="13">
        <v>10480</v>
      </c>
      <c r="H7" s="14">
        <v>250</v>
      </c>
      <c r="I7" s="13">
        <v>0.5</v>
      </c>
      <c r="J7" s="17">
        <v>264</v>
      </c>
      <c r="K7" s="12">
        <v>61.36</v>
      </c>
      <c r="L7" s="12">
        <v>36.410000000000004</v>
      </c>
      <c r="M7" s="14">
        <v>0.05</v>
      </c>
      <c r="N7" s="14">
        <v>2.04</v>
      </c>
      <c r="O7" s="14">
        <v>14.09</v>
      </c>
      <c r="Q7" s="15">
        <v>0.88272191526125776</v>
      </c>
      <c r="U7" s="16">
        <v>5.5</v>
      </c>
    </row>
    <row r="8" spans="1:21">
      <c r="A8" s="18" t="s">
        <v>71</v>
      </c>
      <c r="B8" s="11">
        <v>-73.016333333000006</v>
      </c>
      <c r="C8" s="11">
        <v>5.8059000000000003</v>
      </c>
      <c r="D8" s="12">
        <v>14.020855259999999</v>
      </c>
      <c r="E8" s="12">
        <v>0.49736000000000002</v>
      </c>
      <c r="F8" s="25">
        <v>20</v>
      </c>
      <c r="G8" s="13">
        <v>8640</v>
      </c>
      <c r="H8" s="14">
        <v>182</v>
      </c>
      <c r="I8" s="13">
        <v>0.4</v>
      </c>
      <c r="J8" s="17">
        <v>261</v>
      </c>
      <c r="K8" s="12">
        <v>42.72</v>
      </c>
      <c r="L8" s="12">
        <v>34.72</v>
      </c>
      <c r="M8" s="14">
        <v>0.06</v>
      </c>
      <c r="N8" s="14">
        <v>2.73</v>
      </c>
      <c r="O8" s="14">
        <v>16.88</v>
      </c>
      <c r="Q8" s="15">
        <v>0.8606537290053311</v>
      </c>
      <c r="U8" s="16">
        <v>5.71</v>
      </c>
    </row>
    <row r="9" spans="1:21">
      <c r="A9" s="18" t="s">
        <v>72</v>
      </c>
      <c r="B9" s="11">
        <v>-73.010847467000005</v>
      </c>
      <c r="C9" s="11">
        <v>5.8094301750000001</v>
      </c>
      <c r="D9" s="12">
        <v>13.05039569</v>
      </c>
      <c r="E9" s="12">
        <v>0.50754699999999997</v>
      </c>
      <c r="F9" s="25">
        <v>22.5</v>
      </c>
      <c r="G9" s="13">
        <v>34200</v>
      </c>
      <c r="H9" s="14">
        <v>124</v>
      </c>
      <c r="I9" s="13">
        <v>0.6</v>
      </c>
      <c r="J9" s="17">
        <v>342</v>
      </c>
      <c r="K9" s="12">
        <v>91.139999999999986</v>
      </c>
      <c r="L9" s="12">
        <v>34.159999999999997</v>
      </c>
      <c r="M9" s="14">
        <v>0.06</v>
      </c>
      <c r="N9" s="14">
        <v>2.5099999999999998</v>
      </c>
      <c r="O9" s="14"/>
      <c r="Q9" s="15">
        <v>0.87199056982452816</v>
      </c>
      <c r="U9" s="16">
        <v>7.03</v>
      </c>
    </row>
    <row r="10" spans="1:21">
      <c r="A10" s="18" t="s">
        <v>73</v>
      </c>
      <c r="B10" s="11">
        <v>-72.994086111000001</v>
      </c>
      <c r="C10" s="11">
        <v>5.7920611109999998</v>
      </c>
      <c r="D10" s="12">
        <v>10.214693479999999</v>
      </c>
      <c r="E10" s="12">
        <v>0.52286699999999997</v>
      </c>
      <c r="F10" s="25">
        <v>17.600000000000001</v>
      </c>
      <c r="G10" s="13">
        <v>5180</v>
      </c>
      <c r="H10" s="14">
        <v>140</v>
      </c>
      <c r="I10" s="13">
        <v>0.6</v>
      </c>
      <c r="J10" s="17">
        <v>274</v>
      </c>
      <c r="M10" s="14"/>
      <c r="N10" s="14"/>
      <c r="O10" s="14"/>
      <c r="Q10" s="15">
        <v>0.9753011802620869</v>
      </c>
      <c r="U10" s="16">
        <v>6.35</v>
      </c>
    </row>
    <row r="11" spans="1:21">
      <c r="A11" s="18"/>
      <c r="B11" s="11"/>
      <c r="C11" s="11"/>
      <c r="F11" s="25"/>
      <c r="G11" s="13"/>
      <c r="H11" s="14"/>
      <c r="I11" s="13"/>
      <c r="J11" s="17"/>
      <c r="M11" s="14"/>
      <c r="N11" s="14"/>
      <c r="O11" s="14"/>
      <c r="Q11" s="15"/>
      <c r="U11" s="16"/>
    </row>
    <row r="12" spans="1:21">
      <c r="A12" s="18"/>
      <c r="B12" s="11"/>
      <c r="C12" s="11"/>
      <c r="F12" s="25"/>
      <c r="G12" s="13"/>
      <c r="H12" s="14"/>
      <c r="I12" s="13"/>
      <c r="J12" s="17"/>
      <c r="M12" s="14"/>
      <c r="N12" s="14"/>
      <c r="O12" s="14"/>
      <c r="Q12" s="15"/>
      <c r="U12" s="16"/>
    </row>
    <row r="13" spans="1:21">
      <c r="A13" s="11"/>
      <c r="B13" s="11"/>
      <c r="C13" s="11"/>
      <c r="F13" s="12"/>
    </row>
    <row r="14" spans="1:21">
      <c r="A14" s="11"/>
      <c r="B14" s="11"/>
      <c r="C14" s="11"/>
      <c r="F14" s="12"/>
    </row>
    <row r="15" spans="1:21">
      <c r="A15" s="11"/>
      <c r="B15" s="11"/>
      <c r="C15" s="11"/>
      <c r="F15" s="12"/>
    </row>
    <row r="16" spans="1:21">
      <c r="A16" s="11"/>
      <c r="B16" s="11"/>
      <c r="C16" s="11"/>
    </row>
    <row r="17" spans="1:6">
      <c r="A17" s="11"/>
      <c r="B17" s="11"/>
      <c r="C17" s="11"/>
      <c r="F17" s="12"/>
    </row>
    <row r="18" spans="1:6">
      <c r="A18" s="11"/>
      <c r="B18" s="11"/>
      <c r="C18" s="11"/>
      <c r="F18" s="12"/>
    </row>
    <row r="19" spans="1:6">
      <c r="F19" s="12"/>
    </row>
    <row r="20" spans="1:6">
      <c r="F20" s="12"/>
    </row>
    <row r="21" spans="1:6">
      <c r="F21" s="12"/>
    </row>
    <row r="22" spans="1:6">
      <c r="F22" s="12"/>
    </row>
    <row r="23" spans="1:6">
      <c r="F23" s="12"/>
    </row>
    <row r="24" spans="1:6">
      <c r="F24" s="12"/>
    </row>
    <row r="25" spans="1:6">
      <c r="F25" s="12"/>
    </row>
    <row r="26" spans="1:6">
      <c r="F26" s="12"/>
    </row>
    <row r="27" spans="1:6">
      <c r="F27" s="12"/>
    </row>
    <row r="28" spans="1:6">
      <c r="E28" s="6"/>
      <c r="F28" s="12"/>
    </row>
    <row r="29" spans="1:6">
      <c r="E29" s="6"/>
      <c r="F29" s="12"/>
    </row>
    <row r="30" spans="1:6">
      <c r="F30" s="12"/>
    </row>
    <row r="31" spans="1:6">
      <c r="E31" s="6"/>
      <c r="F31" s="12"/>
    </row>
    <row r="32" spans="1:6">
      <c r="F32" s="12"/>
    </row>
    <row r="38" spans="5:6">
      <c r="E38" s="10"/>
    </row>
    <row r="39" spans="5:6">
      <c r="F39" s="10"/>
    </row>
    <row r="43" spans="5:6">
      <c r="E43" s="7"/>
    </row>
    <row r="44" spans="5:6">
      <c r="E44" s="7"/>
    </row>
    <row r="45" spans="5:6">
      <c r="F4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REACHES</vt:lpstr>
      <vt:lpstr>SOURCES</vt:lpstr>
      <vt:lpstr>WQ_DATA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TORRES PIRAQUIVE</dc:creator>
  <cp:lastModifiedBy>Sergio Torres</cp:lastModifiedBy>
  <dcterms:created xsi:type="dcterms:W3CDTF">2025-11-07T16:58:47Z</dcterms:created>
  <dcterms:modified xsi:type="dcterms:W3CDTF">2026-01-12T23:47:58Z</dcterms:modified>
</cp:coreProperties>
</file>